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python.xml" ContentType="application/vnd.ms-excel.pytho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rfen.sharepoint.com/sites/EquipoWeb/Documentos compartidos/jenkins-builds/QA Transports/"/>
    </mc:Choice>
  </mc:AlternateContent>
  <xr:revisionPtr revIDLastSave="0" documentId="8_{D92C1227-F23C-4465-B8EA-D3D507F1180D}" xr6:coauthVersionLast="47" xr6:coauthVersionMax="47" xr10:uidLastSave="{00000000-0000-0000-0000-000000000000}"/>
  <bookViews>
    <workbookView xWindow="-7755" yWindow="-16320" windowWidth="29040" windowHeight="15720" activeTab="1" xr2:uid="{E9B4C1F9-159C-BB4E-A10F-2A7575D23BA8}"/>
  </bookViews>
  <sheets>
    <sheet name="Transports" sheetId="2" r:id="rId1"/>
    <sheet name="for SAP" sheetId="3" r:id="rId2"/>
    <sheet name="for SNOW" sheetId="4" r:id="rId3"/>
    <sheet name="old" sheetId="1" r:id="rId4"/>
  </sheets>
  <definedNames>
    <definedName name="_xlnm._FilterDatabase" localSheetId="1" hidden="1">'for SAP'!$A$1:$F$47</definedName>
    <definedName name="_xlnm._FilterDatabase" localSheetId="2" hidden="1">'for SNOW'!$A$1:$E$48</definedName>
    <definedName name="_xlnm._FilterDatabase" localSheetId="3" hidden="1">old!$A$4:$I$55</definedName>
    <definedName name="_xlnm._FilterDatabase" localSheetId="0" hidden="1">Transports!$A$4:$J$142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3" l="1"/>
  <c r="E33" i="3"/>
  <c r="B103" i="2"/>
  <c r="B104" i="2"/>
  <c r="I104" i="2"/>
  <c r="H104" i="2"/>
  <c r="H103" i="2"/>
  <c r="I103" i="2"/>
  <c r="I137" i="2"/>
  <c r="B48" i="4"/>
  <c r="B47" i="4"/>
  <c r="A48" i="4"/>
  <c r="D48" i="4"/>
  <c r="D47" i="4"/>
  <c r="A47" i="4"/>
  <c r="I142" i="2"/>
  <c r="H142" i="2"/>
  <c r="I141" i="2"/>
  <c r="H141" i="2"/>
  <c r="H140" i="2"/>
  <c r="I140" i="2"/>
  <c r="B46" i="4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7" i="2"/>
  <c r="H8" i="2"/>
  <c r="H6" i="2"/>
  <c r="H5" i="2"/>
  <c r="I139" i="2"/>
  <c r="I138" i="2"/>
  <c r="I136" i="2"/>
  <c r="I135" i="2"/>
  <c r="I134" i="2"/>
  <c r="I130" i="2"/>
  <c r="I131" i="2"/>
  <c r="I128" i="2"/>
  <c r="I127" i="2"/>
  <c r="I124" i="2"/>
  <c r="I125" i="2"/>
  <c r="I122" i="2"/>
  <c r="I121" i="2"/>
  <c r="I119" i="2"/>
  <c r="I118" i="2"/>
  <c r="I116" i="2"/>
  <c r="I115" i="2"/>
  <c r="I113" i="2"/>
  <c r="I112" i="2"/>
  <c r="I109" i="2"/>
  <c r="I110" i="2"/>
  <c r="I106" i="2"/>
  <c r="I107" i="2"/>
  <c r="I78" i="2"/>
  <c r="I77" i="2"/>
  <c r="I74" i="2"/>
  <c r="I73" i="2"/>
  <c r="I71" i="2"/>
  <c r="I70" i="2"/>
  <c r="I68" i="2"/>
  <c r="I67" i="2"/>
  <c r="I65" i="2"/>
  <c r="I64" i="2"/>
  <c r="I58" i="2"/>
  <c r="I57" i="2"/>
  <c r="I56" i="2"/>
  <c r="I55" i="2"/>
  <c r="I62" i="2"/>
  <c r="I61" i="2"/>
  <c r="I53" i="2"/>
  <c r="I52" i="2"/>
  <c r="I50" i="2"/>
  <c r="I49" i="2"/>
  <c r="I47" i="2"/>
  <c r="I46" i="2"/>
  <c r="I44" i="2"/>
  <c r="I43" i="2"/>
  <c r="I40" i="2"/>
  <c r="I39" i="2"/>
  <c r="I37" i="2"/>
  <c r="I36" i="2"/>
  <c r="I34" i="2"/>
  <c r="I33" i="2"/>
  <c r="I31" i="2"/>
  <c r="I30" i="2"/>
  <c r="I27" i="2"/>
  <c r="I28" i="2"/>
  <c r="I25" i="2"/>
  <c r="I23" i="2"/>
  <c r="I22" i="2"/>
  <c r="I21" i="2"/>
  <c r="I18" i="2"/>
  <c r="I19" i="2"/>
  <c r="I16" i="2"/>
  <c r="I15" i="2"/>
  <c r="I12" i="2"/>
  <c r="I13" i="2"/>
  <c r="I9" i="2"/>
  <c r="I10" i="2"/>
  <c r="I7" i="2"/>
  <c r="I8" i="2"/>
  <c r="I6" i="2"/>
  <c r="I90" i="2"/>
  <c r="I89" i="2"/>
  <c r="I86" i="2"/>
  <c r="I85" i="2"/>
  <c r="I83" i="2"/>
  <c r="I82" i="2"/>
  <c r="I80" i="2"/>
  <c r="I79" i="2"/>
  <c r="I93" i="2"/>
  <c r="I92" i="2"/>
  <c r="I99" i="2"/>
  <c r="I98" i="2"/>
  <c r="I96" i="2"/>
  <c r="I95" i="2"/>
  <c r="I102" i="2"/>
  <c r="A35" i="4"/>
  <c r="A35" i="3"/>
  <c r="B35" i="4"/>
  <c r="C35" i="4"/>
  <c r="I100" i="2"/>
  <c r="A36" i="3"/>
  <c r="F36" i="3"/>
  <c r="E36" i="3"/>
  <c r="D36" i="3"/>
  <c r="C36" i="3"/>
  <c r="B36" i="3"/>
  <c r="E46" i="4"/>
  <c r="D46" i="4"/>
  <c r="C46" i="4"/>
  <c r="A46" i="4"/>
  <c r="E45" i="4"/>
  <c r="D45" i="4"/>
  <c r="C45" i="4"/>
  <c r="B45" i="4"/>
  <c r="A45" i="4"/>
  <c r="E44" i="4"/>
  <c r="D44" i="4"/>
  <c r="C44" i="4"/>
  <c r="B44" i="4"/>
  <c r="A44" i="4"/>
  <c r="E43" i="4"/>
  <c r="D43" i="4"/>
  <c r="C43" i="4"/>
  <c r="B43" i="4"/>
  <c r="A43" i="4"/>
  <c r="E42" i="4"/>
  <c r="D42" i="4"/>
  <c r="C42" i="4"/>
  <c r="B42" i="4"/>
  <c r="A42" i="4"/>
  <c r="E41" i="4"/>
  <c r="D41" i="4"/>
  <c r="C41" i="4"/>
  <c r="B41" i="4"/>
  <c r="A41" i="4"/>
  <c r="E40" i="4"/>
  <c r="D40" i="4"/>
  <c r="C40" i="4"/>
  <c r="B40" i="4"/>
  <c r="A40" i="4"/>
  <c r="E39" i="4"/>
  <c r="D39" i="4"/>
  <c r="C39" i="4"/>
  <c r="B39" i="4"/>
  <c r="A39" i="4"/>
  <c r="E38" i="4"/>
  <c r="D38" i="4"/>
  <c r="C38" i="4"/>
  <c r="B38" i="4"/>
  <c r="A38" i="4"/>
  <c r="E37" i="4"/>
  <c r="D37" i="4"/>
  <c r="C37" i="4"/>
  <c r="B37" i="4"/>
  <c r="A37" i="4"/>
  <c r="E36" i="4"/>
  <c r="D36" i="4"/>
  <c r="C36" i="4"/>
  <c r="B36" i="4"/>
  <c r="A36" i="4"/>
  <c r="E35" i="4"/>
  <c r="D35" i="4"/>
  <c r="E34" i="4"/>
  <c r="D34" i="4"/>
  <c r="C34" i="4"/>
  <c r="B34" i="4"/>
  <c r="A34" i="4"/>
  <c r="E33" i="4"/>
  <c r="D33" i="4"/>
  <c r="C33" i="4"/>
  <c r="B33" i="4"/>
  <c r="A33" i="4"/>
  <c r="E32" i="4"/>
  <c r="D32" i="4"/>
  <c r="C32" i="4"/>
  <c r="B32" i="4"/>
  <c r="A32" i="4"/>
  <c r="E31" i="4"/>
  <c r="D31" i="4"/>
  <c r="C31" i="4"/>
  <c r="B31" i="4"/>
  <c r="A31" i="4"/>
  <c r="E30" i="4"/>
  <c r="D30" i="4"/>
  <c r="C30" i="4"/>
  <c r="B30" i="4"/>
  <c r="A30" i="4"/>
  <c r="E29" i="4"/>
  <c r="D29" i="4"/>
  <c r="C29" i="4"/>
  <c r="B29" i="4"/>
  <c r="A29" i="4"/>
  <c r="E28" i="4"/>
  <c r="D28" i="4"/>
  <c r="C28" i="4"/>
  <c r="B28" i="4"/>
  <c r="A28" i="4"/>
  <c r="E27" i="4"/>
  <c r="D27" i="4"/>
  <c r="C27" i="4"/>
  <c r="B27" i="4"/>
  <c r="A27" i="4"/>
  <c r="E26" i="4"/>
  <c r="D26" i="4"/>
  <c r="C26" i="4"/>
  <c r="B26" i="4"/>
  <c r="A26" i="4"/>
  <c r="E25" i="4"/>
  <c r="D25" i="4"/>
  <c r="C25" i="4"/>
  <c r="B25" i="4"/>
  <c r="A25" i="4"/>
  <c r="E24" i="4"/>
  <c r="D24" i="4"/>
  <c r="C24" i="4"/>
  <c r="B24" i="4"/>
  <c r="A24" i="4"/>
  <c r="E23" i="4"/>
  <c r="D23" i="4"/>
  <c r="C23" i="4"/>
  <c r="B23" i="4"/>
  <c r="A23" i="4"/>
  <c r="E22" i="4"/>
  <c r="D22" i="4"/>
  <c r="C22" i="4"/>
  <c r="B22" i="4"/>
  <c r="A22" i="4"/>
  <c r="E21" i="4"/>
  <c r="D21" i="4"/>
  <c r="C21" i="4"/>
  <c r="B21" i="4"/>
  <c r="A21" i="4"/>
  <c r="E20" i="4"/>
  <c r="D20" i="4"/>
  <c r="C20" i="4"/>
  <c r="B20" i="4"/>
  <c r="A20" i="4"/>
  <c r="E19" i="4"/>
  <c r="D19" i="4"/>
  <c r="C19" i="4"/>
  <c r="B19" i="4"/>
  <c r="A19" i="4"/>
  <c r="E18" i="4"/>
  <c r="D18" i="4"/>
  <c r="C18" i="4"/>
  <c r="B18" i="4"/>
  <c r="A18" i="4"/>
  <c r="E17" i="4"/>
  <c r="D17" i="4"/>
  <c r="C17" i="4"/>
  <c r="B17" i="4"/>
  <c r="A17" i="4"/>
  <c r="E16" i="4"/>
  <c r="D16" i="4"/>
  <c r="C16" i="4"/>
  <c r="B16" i="4"/>
  <c r="A16" i="4"/>
  <c r="E15" i="4"/>
  <c r="D15" i="4"/>
  <c r="C15" i="4"/>
  <c r="B15" i="4"/>
  <c r="A15" i="4"/>
  <c r="E14" i="4"/>
  <c r="D14" i="4"/>
  <c r="C14" i="4"/>
  <c r="B14" i="4"/>
  <c r="A14" i="4"/>
  <c r="E13" i="4"/>
  <c r="D13" i="4"/>
  <c r="C13" i="4"/>
  <c r="B13" i="4"/>
  <c r="A13" i="4"/>
  <c r="E12" i="4"/>
  <c r="D12" i="4"/>
  <c r="C12" i="4"/>
  <c r="B12" i="4"/>
  <c r="A12" i="4"/>
  <c r="E11" i="4"/>
  <c r="D11" i="4"/>
  <c r="C11" i="4"/>
  <c r="B11" i="4"/>
  <c r="A11" i="4"/>
  <c r="E10" i="4"/>
  <c r="D10" i="4"/>
  <c r="C10" i="4"/>
  <c r="B10" i="4"/>
  <c r="A10" i="4"/>
  <c r="E9" i="4"/>
  <c r="D9" i="4"/>
  <c r="C9" i="4"/>
  <c r="B9" i="4"/>
  <c r="A9" i="4"/>
  <c r="E8" i="4"/>
  <c r="D8" i="4"/>
  <c r="C8" i="4"/>
  <c r="B8" i="4"/>
  <c r="A8" i="4"/>
  <c r="E7" i="4"/>
  <c r="D7" i="4"/>
  <c r="C7" i="4"/>
  <c r="B7" i="4"/>
  <c r="A7" i="4"/>
  <c r="E6" i="4"/>
  <c r="D6" i="4"/>
  <c r="C6" i="4"/>
  <c r="B6" i="4"/>
  <c r="A6" i="4"/>
  <c r="E5" i="4"/>
  <c r="D5" i="4"/>
  <c r="C5" i="4"/>
  <c r="B5" i="4"/>
  <c r="A5" i="4"/>
  <c r="E4" i="4"/>
  <c r="D4" i="4"/>
  <c r="C4" i="4"/>
  <c r="B4" i="4"/>
  <c r="A4" i="4"/>
  <c r="E3" i="4"/>
  <c r="D3" i="4"/>
  <c r="C3" i="4"/>
  <c r="B3" i="4"/>
  <c r="A3" i="4"/>
  <c r="E2" i="4"/>
  <c r="D2" i="4"/>
  <c r="C2" i="4"/>
  <c r="B2" i="4"/>
  <c r="A2" i="4"/>
  <c r="C26" i="3"/>
  <c r="C2" i="3"/>
  <c r="C4" i="3"/>
  <c r="A11" i="3"/>
  <c r="B11" i="3"/>
  <c r="C11" i="3"/>
  <c r="D11" i="3"/>
  <c r="A12" i="3"/>
  <c r="B12" i="3"/>
  <c r="C12" i="3"/>
  <c r="D12" i="3"/>
  <c r="A13" i="3"/>
  <c r="B13" i="3"/>
  <c r="C13" i="3"/>
  <c r="D13" i="3"/>
  <c r="A14" i="3"/>
  <c r="B14" i="3"/>
  <c r="C14" i="3"/>
  <c r="D14" i="3"/>
  <c r="A15" i="3"/>
  <c r="B15" i="3"/>
  <c r="C15" i="3"/>
  <c r="D15" i="3"/>
  <c r="A16" i="3"/>
  <c r="B16" i="3"/>
  <c r="C16" i="3"/>
  <c r="D16" i="3"/>
  <c r="A17" i="3"/>
  <c r="B17" i="3"/>
  <c r="C17" i="3"/>
  <c r="D17" i="3"/>
  <c r="A18" i="3"/>
  <c r="B18" i="3"/>
  <c r="C18" i="3"/>
  <c r="D18" i="3"/>
  <c r="A19" i="3"/>
  <c r="B19" i="3"/>
  <c r="C19" i="3"/>
  <c r="D19" i="3"/>
  <c r="A20" i="3"/>
  <c r="B20" i="3"/>
  <c r="C20" i="3"/>
  <c r="D20" i="3"/>
  <c r="A21" i="3"/>
  <c r="B21" i="3"/>
  <c r="C21" i="3"/>
  <c r="D21" i="3"/>
  <c r="A22" i="3"/>
  <c r="B22" i="3"/>
  <c r="C22" i="3"/>
  <c r="D22" i="3"/>
  <c r="A23" i="3"/>
  <c r="B23" i="3"/>
  <c r="C23" i="3"/>
  <c r="D23" i="3"/>
  <c r="A24" i="3"/>
  <c r="B24" i="3"/>
  <c r="C24" i="3"/>
  <c r="D24" i="3"/>
  <c r="A25" i="3"/>
  <c r="B25" i="3"/>
  <c r="C25" i="3"/>
  <c r="D25" i="3"/>
  <c r="A26" i="3"/>
  <c r="B26" i="3"/>
  <c r="D26" i="3"/>
  <c r="A27" i="3"/>
  <c r="B27" i="3"/>
  <c r="C27" i="3"/>
  <c r="D27" i="3"/>
  <c r="A28" i="3"/>
  <c r="B28" i="3"/>
  <c r="C28" i="3"/>
  <c r="D28" i="3"/>
  <c r="A29" i="3"/>
  <c r="B29" i="3"/>
  <c r="C29" i="3"/>
  <c r="D29" i="3"/>
  <c r="A30" i="3"/>
  <c r="B30" i="3"/>
  <c r="C30" i="3"/>
  <c r="D30" i="3"/>
  <c r="A31" i="3"/>
  <c r="B31" i="3"/>
  <c r="C31" i="3"/>
  <c r="D31" i="3"/>
  <c r="A32" i="3"/>
  <c r="B32" i="3"/>
  <c r="C32" i="3"/>
  <c r="D32" i="3"/>
  <c r="A33" i="3"/>
  <c r="D33" i="3"/>
  <c r="A34" i="3"/>
  <c r="B34" i="3"/>
  <c r="C34" i="3"/>
  <c r="D34" i="3"/>
  <c r="B35" i="3"/>
  <c r="C35" i="3"/>
  <c r="D35" i="3"/>
  <c r="A37" i="3"/>
  <c r="B37" i="3"/>
  <c r="C37" i="3"/>
  <c r="D37" i="3"/>
  <c r="A38" i="3"/>
  <c r="B38" i="3"/>
  <c r="C38" i="3"/>
  <c r="D38" i="3"/>
  <c r="A39" i="3"/>
  <c r="B39" i="3"/>
  <c r="C39" i="3"/>
  <c r="D39" i="3"/>
  <c r="A40" i="3"/>
  <c r="B40" i="3"/>
  <c r="C40" i="3"/>
  <c r="D40" i="3"/>
  <c r="A41" i="3"/>
  <c r="B41" i="3"/>
  <c r="C41" i="3"/>
  <c r="D41" i="3"/>
  <c r="A42" i="3"/>
  <c r="B42" i="3"/>
  <c r="C42" i="3"/>
  <c r="D42" i="3"/>
  <c r="A43" i="3"/>
  <c r="B43" i="3"/>
  <c r="C43" i="3"/>
  <c r="D43" i="3"/>
  <c r="A44" i="3"/>
  <c r="B44" i="3"/>
  <c r="C44" i="3"/>
  <c r="D44" i="3"/>
  <c r="A45" i="3"/>
  <c r="B45" i="3"/>
  <c r="C45" i="3"/>
  <c r="D45" i="3"/>
  <c r="A46" i="3"/>
  <c r="B46" i="3"/>
  <c r="C46" i="3"/>
  <c r="D46" i="3"/>
  <c r="A47" i="3"/>
  <c r="B47" i="3"/>
  <c r="C47" i="3"/>
  <c r="D47" i="3"/>
  <c r="A3" i="3"/>
  <c r="B3" i="3"/>
  <c r="C3" i="3"/>
  <c r="D3" i="3"/>
  <c r="A4" i="3"/>
  <c r="B4" i="3"/>
  <c r="D4" i="3"/>
  <c r="A5" i="3"/>
  <c r="B5" i="3"/>
  <c r="C5" i="3"/>
  <c r="D5" i="3"/>
  <c r="A6" i="3"/>
  <c r="B6" i="3"/>
  <c r="C6" i="3"/>
  <c r="D6" i="3"/>
  <c r="A7" i="3"/>
  <c r="B7" i="3"/>
  <c r="C7" i="3"/>
  <c r="D7" i="3"/>
  <c r="A8" i="3"/>
  <c r="B8" i="3"/>
  <c r="C8" i="3"/>
  <c r="D8" i="3"/>
  <c r="A9" i="3"/>
  <c r="B9" i="3"/>
  <c r="C9" i="3"/>
  <c r="D9" i="3"/>
  <c r="A10" i="3"/>
  <c r="B10" i="3"/>
  <c r="C10" i="3"/>
  <c r="D10" i="3"/>
  <c r="A2" i="3"/>
  <c r="E18" i="3"/>
  <c r="F18" i="3"/>
  <c r="E19" i="3"/>
  <c r="F19" i="3"/>
  <c r="E24" i="3"/>
  <c r="F24" i="3"/>
  <c r="E25" i="3"/>
  <c r="F25" i="3"/>
  <c r="E26" i="3"/>
  <c r="F26" i="3"/>
  <c r="E27" i="3"/>
  <c r="F27" i="3"/>
  <c r="E28" i="3"/>
  <c r="F28" i="3"/>
  <c r="E29" i="3"/>
  <c r="F29" i="3"/>
  <c r="E30" i="3"/>
  <c r="F30" i="3"/>
  <c r="E31" i="3"/>
  <c r="F31" i="3"/>
  <c r="E32" i="3"/>
  <c r="F32" i="3"/>
  <c r="F33" i="3"/>
  <c r="E34" i="3"/>
  <c r="F34" i="3"/>
  <c r="E35" i="3"/>
  <c r="F35" i="3"/>
  <c r="E37" i="3"/>
  <c r="F37" i="3"/>
  <c r="E38" i="3"/>
  <c r="F38" i="3"/>
  <c r="E39" i="3"/>
  <c r="F39" i="3"/>
  <c r="E40" i="3"/>
  <c r="F40" i="3"/>
  <c r="E41" i="3"/>
  <c r="F41" i="3"/>
  <c r="E42" i="3"/>
  <c r="F42" i="3"/>
  <c r="E43" i="3"/>
  <c r="F43" i="3"/>
  <c r="E44" i="3"/>
  <c r="F44" i="3"/>
  <c r="E45" i="3"/>
  <c r="F45" i="3"/>
  <c r="E46" i="3"/>
  <c r="F46" i="3"/>
  <c r="E47" i="3"/>
  <c r="F47" i="3"/>
  <c r="E14" i="3"/>
  <c r="F14" i="3"/>
  <c r="E3" i="3"/>
  <c r="F3" i="3"/>
  <c r="F4" i="3"/>
  <c r="F5" i="3"/>
  <c r="F6" i="3"/>
  <c r="F7" i="3"/>
  <c r="F8" i="3"/>
  <c r="F9" i="3"/>
  <c r="F10" i="3"/>
  <c r="F11" i="3"/>
  <c r="F12" i="3"/>
  <c r="F13" i="3"/>
  <c r="F15" i="3"/>
  <c r="F16" i="3"/>
  <c r="F17" i="3"/>
  <c r="F20" i="3"/>
  <c r="F21" i="3"/>
  <c r="F22" i="3"/>
  <c r="F23" i="3"/>
  <c r="F2" i="3"/>
  <c r="E4" i="3"/>
  <c r="E5" i="3"/>
  <c r="E6" i="3"/>
  <c r="E7" i="3"/>
  <c r="E8" i="3"/>
  <c r="E9" i="3"/>
  <c r="E10" i="3"/>
  <c r="E11" i="3"/>
  <c r="E12" i="3"/>
  <c r="E13" i="3"/>
  <c r="E15" i="3"/>
  <c r="E16" i="3"/>
  <c r="E17" i="3"/>
  <c r="E20" i="3"/>
  <c r="E21" i="3"/>
  <c r="E22" i="3"/>
  <c r="E23" i="3"/>
  <c r="E2" i="3"/>
  <c r="B2" i="3"/>
  <c r="D2" i="3"/>
  <c r="I88" i="2"/>
  <c r="I101" i="2"/>
  <c r="B101" i="2" s="1"/>
  <c r="I97" i="2"/>
  <c r="I94" i="2"/>
  <c r="I91" i="2"/>
  <c r="I117" i="2"/>
  <c r="I114" i="2"/>
  <c r="I81" i="2"/>
  <c r="I133" i="2"/>
  <c r="I132" i="2"/>
  <c r="I129" i="2"/>
  <c r="I126" i="2"/>
  <c r="I123" i="2"/>
  <c r="I120" i="2"/>
  <c r="I111" i="2"/>
  <c r="I108" i="2"/>
  <c r="I105" i="2"/>
  <c r="I87" i="2"/>
  <c r="I84" i="2"/>
  <c r="I76" i="2"/>
  <c r="I75" i="2"/>
  <c r="I72" i="2"/>
  <c r="I69" i="2"/>
  <c r="I66" i="2"/>
  <c r="I63" i="2"/>
  <c r="I60" i="2"/>
  <c r="I59" i="2"/>
  <c r="I54" i="2"/>
  <c r="I51" i="2"/>
  <c r="I48" i="2"/>
  <c r="I45" i="2"/>
  <c r="I42" i="2"/>
  <c r="I41" i="2"/>
  <c r="I38" i="2"/>
  <c r="I35" i="2"/>
  <c r="I32" i="2"/>
  <c r="I29" i="2"/>
  <c r="I26" i="2"/>
  <c r="I24" i="2"/>
  <c r="I20" i="2"/>
  <c r="I17" i="2"/>
  <c r="I14" i="2"/>
  <c r="I11" i="2"/>
  <c r="I5" i="2"/>
  <c r="H6" i="1"/>
  <c r="G6" i="1"/>
  <c r="G7" i="1"/>
  <c r="H7" i="1"/>
  <c r="G8" i="1"/>
  <c r="H8" i="1"/>
  <c r="H22" i="1"/>
  <c r="G22" i="1"/>
  <c r="H10" i="1"/>
  <c r="H12" i="1"/>
  <c r="H11" i="1"/>
  <c r="H9" i="1"/>
  <c r="H5" i="1"/>
  <c r="G9" i="1"/>
  <c r="G5" i="1"/>
  <c r="G29" i="1"/>
  <c r="H29" i="1"/>
  <c r="G28" i="1"/>
  <c r="H28" i="1"/>
  <c r="G55" i="1"/>
  <c r="H55" i="1"/>
  <c r="G10" i="1"/>
  <c r="G11" i="1"/>
  <c r="G15" i="1"/>
  <c r="H15" i="1"/>
  <c r="G23" i="1"/>
  <c r="H23" i="1"/>
  <c r="G36" i="1"/>
  <c r="H36" i="1"/>
  <c r="G35" i="1"/>
  <c r="H35" i="1"/>
  <c r="G34" i="1"/>
  <c r="H34" i="1"/>
  <c r="G54" i="1"/>
  <c r="H54" i="1"/>
  <c r="G53" i="1"/>
  <c r="H53" i="1"/>
  <c r="G52" i="1"/>
  <c r="H52" i="1"/>
  <c r="H51" i="1"/>
  <c r="G51" i="1"/>
  <c r="G12" i="1"/>
  <c r="B91" i="2" l="1"/>
  <c r="B141" i="2"/>
  <c r="B140" i="2"/>
  <c r="B142" i="2"/>
  <c r="B139" i="2"/>
  <c r="B138" i="2"/>
  <c r="B137" i="2"/>
  <c r="B127" i="2"/>
  <c r="B135" i="2"/>
  <c r="B136" i="2"/>
  <c r="B134" i="2"/>
  <c r="B131" i="2"/>
  <c r="B130" i="2"/>
  <c r="B128" i="2"/>
  <c r="B118" i="2"/>
  <c r="B125" i="2"/>
  <c r="B124" i="2"/>
  <c r="B122" i="2"/>
  <c r="B121" i="2"/>
  <c r="B119" i="2"/>
  <c r="B115" i="2"/>
  <c r="B116" i="2"/>
  <c r="B113" i="2"/>
  <c r="B112" i="2"/>
  <c r="B109" i="2"/>
  <c r="B110" i="2"/>
  <c r="B106" i="2"/>
  <c r="B77" i="2"/>
  <c r="B107" i="2"/>
  <c r="B78" i="2"/>
  <c r="B74" i="2"/>
  <c r="B55" i="2"/>
  <c r="B64" i="2"/>
  <c r="B70" i="2"/>
  <c r="B67" i="2"/>
  <c r="B73" i="2"/>
  <c r="B71" i="2"/>
  <c r="B62" i="2"/>
  <c r="B58" i="2"/>
  <c r="B68" i="2"/>
  <c r="B65" i="2"/>
  <c r="B57" i="2"/>
  <c r="B53" i="2"/>
  <c r="B56" i="2"/>
  <c r="B61" i="2"/>
  <c r="B52" i="2"/>
  <c r="B46" i="2"/>
  <c r="B50" i="2"/>
  <c r="B49" i="2"/>
  <c r="B47" i="2"/>
  <c r="B41" i="2"/>
  <c r="B44" i="2"/>
  <c r="B22" i="2"/>
  <c r="B27" i="2"/>
  <c r="B34" i="2"/>
  <c r="B40" i="2"/>
  <c r="B43" i="2"/>
  <c r="B39" i="2"/>
  <c r="B31" i="2"/>
  <c r="B37" i="2"/>
  <c r="B36" i="2"/>
  <c r="B21" i="2"/>
  <c r="B28" i="2"/>
  <c r="B33" i="2"/>
  <c r="B30" i="2"/>
  <c r="B25" i="2"/>
  <c r="B19" i="2"/>
  <c r="B23" i="2"/>
  <c r="B18" i="2"/>
  <c r="B15" i="2"/>
  <c r="B16" i="2"/>
  <c r="B12" i="2"/>
  <c r="B9" i="2"/>
  <c r="B13" i="2"/>
  <c r="B10" i="2"/>
  <c r="B8" i="2"/>
  <c r="B7" i="2"/>
  <c r="B6" i="2"/>
  <c r="B90" i="2"/>
  <c r="B85" i="2"/>
  <c r="B86" i="2"/>
  <c r="B89" i="2"/>
  <c r="B93" i="2"/>
  <c r="B83" i="2"/>
  <c r="B80" i="2"/>
  <c r="B100" i="2"/>
  <c r="B82" i="2"/>
  <c r="B99" i="2"/>
  <c r="B102" i="2"/>
  <c r="B95" i="2"/>
  <c r="B98" i="2"/>
  <c r="B79" i="2"/>
  <c r="B92" i="2"/>
  <c r="B96" i="2"/>
  <c r="D6" i="1"/>
  <c r="B88" i="2"/>
  <c r="B94" i="2"/>
  <c r="B29" i="2"/>
  <c r="B114" i="2"/>
  <c r="B97" i="2"/>
  <c r="B42" i="2"/>
  <c r="B60" i="2"/>
  <c r="B38" i="2"/>
  <c r="B81" i="2"/>
  <c r="B76" i="2"/>
  <c r="B108" i="2"/>
  <c r="B45" i="2"/>
  <c r="B63" i="2"/>
  <c r="B35" i="2"/>
  <c r="B117" i="2"/>
  <c r="B51" i="2"/>
  <c r="B20" i="2"/>
  <c r="B133" i="2"/>
  <c r="B24" i="2"/>
  <c r="B5" i="2"/>
  <c r="B120" i="2"/>
  <c r="B87" i="2"/>
  <c r="B123" i="2"/>
  <c r="B59" i="2"/>
  <c r="B105" i="2"/>
  <c r="B84" i="2"/>
  <c r="B32" i="2"/>
  <c r="B11" i="2"/>
  <c r="B48" i="2"/>
  <c r="B132" i="2"/>
  <c r="B54" i="2"/>
  <c r="B69" i="2"/>
  <c r="B14" i="2"/>
  <c r="B26" i="2"/>
  <c r="B129" i="2"/>
  <c r="B17" i="2"/>
  <c r="B72" i="2"/>
  <c r="B75" i="2"/>
  <c r="B111" i="2"/>
  <c r="B126" i="2"/>
  <c r="B66" i="2"/>
  <c r="D5" i="1"/>
  <c r="D11" i="1"/>
  <c r="D51" i="1"/>
  <c r="D22" i="1"/>
  <c r="D8" i="1"/>
  <c r="D7" i="1"/>
  <c r="D23" i="1"/>
  <c r="D34" i="1"/>
  <c r="D29" i="1"/>
  <c r="D28" i="1"/>
  <c r="D35" i="1"/>
  <c r="D53" i="1"/>
  <c r="D10" i="1"/>
  <c r="D9" i="1"/>
  <c r="D54" i="1"/>
  <c r="D55" i="1"/>
  <c r="D52" i="1"/>
  <c r="D36" i="1"/>
  <c r="D15" i="1"/>
  <c r="D12" i="1"/>
  <c r="H13" i="1"/>
  <c r="G13" i="1"/>
  <c r="D13" i="1" s="1"/>
  <c r="H14" i="1"/>
  <c r="G14" i="1"/>
  <c r="D14" i="1" l="1"/>
  <c r="G50" i="1"/>
  <c r="H50" i="1"/>
  <c r="G26" i="1"/>
  <c r="H26" i="1"/>
  <c r="G49" i="1"/>
  <c r="H49" i="1"/>
  <c r="H48" i="1"/>
  <c r="G48" i="1"/>
  <c r="G47" i="1"/>
  <c r="H47" i="1"/>
  <c r="G46" i="1"/>
  <c r="H46" i="1"/>
  <c r="G45" i="1"/>
  <c r="H45" i="1"/>
  <c r="G44" i="1"/>
  <c r="H44" i="1"/>
  <c r="G43" i="1"/>
  <c r="H43" i="1"/>
  <c r="G42" i="1"/>
  <c r="H42" i="1"/>
  <c r="D42" i="1" s="1"/>
  <c r="G41" i="1"/>
  <c r="H41" i="1"/>
  <c r="G40" i="1"/>
  <c r="H40" i="1"/>
  <c r="G39" i="1"/>
  <c r="H39" i="1"/>
  <c r="G38" i="1"/>
  <c r="H38" i="1"/>
  <c r="H37" i="1"/>
  <c r="D37" i="1" s="1"/>
  <c r="G37" i="1"/>
  <c r="G33" i="1"/>
  <c r="H33" i="1"/>
  <c r="H32" i="1"/>
  <c r="G32" i="1"/>
  <c r="D38" i="1" l="1"/>
  <c r="D47" i="1"/>
  <c r="D39" i="1"/>
  <c r="D33" i="1"/>
  <c r="D32" i="1"/>
  <c r="D43" i="1"/>
  <c r="D48" i="1"/>
  <c r="D46" i="1"/>
  <c r="D26" i="1"/>
  <c r="D50" i="1"/>
  <c r="D49" i="1"/>
  <c r="D45" i="1"/>
  <c r="D44" i="1"/>
  <c r="D41" i="1"/>
  <c r="D40" i="1"/>
  <c r="G31" i="1"/>
  <c r="H31" i="1"/>
  <c r="D31" i="1" l="1"/>
  <c r="G30" i="1"/>
  <c r="H30" i="1"/>
  <c r="D30" i="1" l="1"/>
  <c r="G27" i="1"/>
  <c r="H27" i="1"/>
  <c r="D27" i="1" l="1"/>
  <c r="H25" i="1"/>
  <c r="G25" i="1"/>
  <c r="D25" i="1" l="1"/>
  <c r="G24" i="1"/>
  <c r="H24" i="1"/>
  <c r="D24" i="1" l="1"/>
  <c r="H21" i="1" l="1"/>
  <c r="G21" i="1"/>
  <c r="H17" i="1"/>
  <c r="H18" i="1"/>
  <c r="H19" i="1"/>
  <c r="H20" i="1"/>
  <c r="H16" i="1"/>
  <c r="G17" i="1"/>
  <c r="G18" i="1"/>
  <c r="G19" i="1"/>
  <c r="G20" i="1"/>
  <c r="G16" i="1"/>
  <c r="D16" i="1" l="1"/>
  <c r="D20" i="1"/>
  <c r="D18" i="1"/>
  <c r="D17" i="1"/>
  <c r="D21" i="1"/>
  <c r="D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Hugo Rodriguez Pujals</author>
  </authors>
  <commentList>
    <comment ref="G76" authorId="0" shapeId="0" xr:uid="{33329A31-5E54-4936-9069-1425D52A56A9}">
      <text>
        <r>
          <rPr>
            <sz val="12"/>
            <color theme="1"/>
            <rFont val="Calibri"/>
            <family val="2"/>
            <scheme val="minor"/>
          </rPr>
          <t xml:space="preserve">Hugo Rodriguez Pujals:
</t>
        </r>
      </text>
    </comment>
    <comment ref="G79" authorId="0" shapeId="0" xr:uid="{5DAF1A4C-4EC3-4106-BAE0-F03A05030618}">
      <text>
        <r>
          <rPr>
            <sz val="12"/>
            <color theme="1"/>
            <rFont val="Calibri"/>
            <family val="2"/>
            <scheme val="minor"/>
          </rPr>
          <t xml:space="preserve">Hugo Rodriguez Pujals:
</t>
        </r>
      </text>
    </comment>
    <comment ref="G80" authorId="0" shapeId="0" xr:uid="{2F7DF426-09B1-4A3A-BBB2-003F8ECA4BB0}">
      <text>
        <r>
          <rPr>
            <sz val="12"/>
            <color theme="1"/>
            <rFont val="Calibri"/>
            <family val="2"/>
            <scheme val="minor"/>
          </rPr>
          <t xml:space="preserve">Hugo Rodriguez Pujals: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Hugo Rodriguez Pujals</author>
  </authors>
  <commentList>
    <comment ref="B27" authorId="0" shapeId="0" xr:uid="{7CDED1D7-24FD-4625-BCA4-A53B5E02D94E}">
      <text>
        <r>
          <rPr>
            <sz val="12"/>
            <color theme="1"/>
            <rFont val="Calibri"/>
            <family val="2"/>
            <scheme val="minor"/>
          </rPr>
          <t xml:space="preserve">Hugo Rodriguez Pujals: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Hugo Rodriguez Pujals</author>
  </authors>
  <commentList>
    <comment ref="A27" authorId="0" shapeId="0" xr:uid="{5D3E975B-64F1-4E67-926D-9D2BB6EC1402}">
      <text>
        <r>
          <rPr>
            <sz val="12"/>
            <color theme="1"/>
            <rFont val="Calibri"/>
            <family val="2"/>
            <scheme val="minor"/>
          </rPr>
          <t xml:space="preserve">Hugo Rodriguez Pujals: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Hugo Rodriguez Pujals</author>
  </authors>
  <commentList>
    <comment ref="C38" authorId="0" shapeId="0" xr:uid="{C946A3E4-039A-4E96-BD16-2415D6115D1A}">
      <text>
        <r>
          <rPr>
            <sz val="12"/>
            <color theme="1"/>
            <rFont val="Calibri"/>
            <family val="2"/>
            <scheme val="minor"/>
          </rPr>
          <t xml:space="preserve">Hugo Rodriguez Pujals:
</t>
        </r>
      </text>
    </comment>
  </commentList>
</comments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<sst xmlns="http://schemas.openxmlformats.org/spreadsheetml/2006/main" count="1133" uniqueCount="590">
  <si>
    <r>
      <t xml:space="preserve">To be </t>
    </r>
    <r>
      <rPr>
        <sz val="12"/>
        <color theme="5" tint="-0.249977111117893"/>
        <rFont val="Calibri (Body)"/>
      </rPr>
      <t>filled</t>
    </r>
  </si>
  <si>
    <t>servicenow token:</t>
  </si>
  <si>
    <t>118c2756d3ce653d0a273be09b5db6c54e</t>
  </si>
  <si>
    <t>Note: This token expires every 6 months, please ensure it is not expired before using it. U: servicenow P:(syspass)</t>
  </si>
  <si>
    <t>Result</t>
  </si>
  <si>
    <t>it_qa token:</t>
  </si>
  <si>
    <t>11670cc89254539b7527b5113a68e6edb6</t>
  </si>
  <si>
    <t>Note: This token expires every 6 months, please ensure it is not expired before using it. U: it_qa P:(syspass)</t>
  </si>
  <si>
    <t>(expired, not used anymore)</t>
  </si>
  <si>
    <t>Calculated</t>
  </si>
  <si>
    <t>Published 01/05/2025</t>
  </si>
  <si>
    <t>Project</t>
  </si>
  <si>
    <t>SCR Execution Body (copy &amp; paste in SCR Execution tab)</t>
  </si>
  <si>
    <t>App Token</t>
  </si>
  <si>
    <t>Jenkins job path</t>
  </si>
  <si>
    <t>WithParams?</t>
  </si>
  <si>
    <t>SAP ID</t>
  </si>
  <si>
    <t>App</t>
  </si>
  <si>
    <t>JENKINS_TRANSPORT</t>
  </si>
  <si>
    <t>JENKINS_RESULT</t>
  </si>
  <si>
    <t>CAB</t>
  </si>
  <si>
    <t>Webs</t>
  </si>
  <si>
    <t>WerfenALLRelease</t>
  </si>
  <si>
    <t>job/Werfen%20websites/job/Production%20environment/job/QA%20Transports/job/All%20werfen.com%20sites/</t>
  </si>
  <si>
    <t>build</t>
  </si>
  <si>
    <t>1</t>
  </si>
  <si>
    <t>All werfen  sites legacy</t>
  </si>
  <si>
    <t>0</t>
  </si>
  <si>
    <t>WerfenALLRelease1</t>
  </si>
  <si>
    <t>job/Werfen%20websites/job/Production%20environment/job/QA%20Transports/job/All%20werfen%20sites%20release/</t>
  </si>
  <si>
    <t>All werfen sites release</t>
  </si>
  <si>
    <t>WerfenALLHotfix</t>
  </si>
  <si>
    <t>job/Werfen%20websites/job/Production%20environment/job/QA%20Transports/job/All%20werfen%20hotfix/</t>
  </si>
  <si>
    <t>All werfen sites hotfix</t>
  </si>
  <si>
    <t>WerfenCZRelease</t>
  </si>
  <si>
    <t>job/Werfen%20websites/job/Production%20environment/job/QA%20Transports/job/Werfen%20CZ/</t>
  </si>
  <si>
    <t>buildWithParameters</t>
  </si>
  <si>
    <t>8</t>
  </si>
  <si>
    <t>Website Czechia legacy</t>
  </si>
  <si>
    <t>WerfenCZRelease1</t>
  </si>
  <si>
    <t>job/Werfen%20websites/job/Production%20environment/job/QA%20Transports/job/Werfen%20CZ%20release/</t>
  </si>
  <si>
    <t>Website Czechia release</t>
  </si>
  <si>
    <t>WerfenCZHotfix</t>
  </si>
  <si>
    <t>job/Werfen%20websites/job/Production%20environment/job/QA%20Transports/job/Werfen%20CZ%20hotfix/</t>
  </si>
  <si>
    <t>Website Czechia hotfix</t>
  </si>
  <si>
    <t>WerfenRURelease</t>
  </si>
  <si>
    <t>job/Werfen%20websites/job/Production%20environment/job/QA%20Transports/job/Werfen%20RU/</t>
  </si>
  <si>
    <t>22</t>
  </si>
  <si>
    <t>Website Russia legacy</t>
  </si>
  <si>
    <t>WerfenRURelease1</t>
  </si>
  <si>
    <t>job/Werfen%20websites/job/Production%20environment/job/QA%20Transports/job/Werfen%20RU%20release/</t>
  </si>
  <si>
    <t>Website Russia release</t>
  </si>
  <si>
    <t>WerfenRUHotfix</t>
  </si>
  <si>
    <t>job/Werfen%20websites/job/Production%20environment/job/QA%20Transports/job/Werfen%20RU%20hotfix/</t>
  </si>
  <si>
    <t>Website Russia hotfix</t>
  </si>
  <si>
    <t>WerfenAURelease</t>
  </si>
  <si>
    <t>job/Werfen%20websites/job/Production%20environment/job/QA%20Transports/job/Werfen%20AU/</t>
  </si>
  <si>
    <t>4</t>
  </si>
  <si>
    <t>Website AUSTRALIA legacy</t>
  </si>
  <si>
    <t>WerfenAURelease1</t>
  </si>
  <si>
    <t>job/Werfen%20websites/job/Production%20environment/job/QA%20Transports/job/Werfen%20AU%20release/</t>
  </si>
  <si>
    <t>Website AUSTRALIA release</t>
  </si>
  <si>
    <t>WerfenAUHotfix</t>
  </si>
  <si>
    <t>job/Werfen%20websites/job/Production%20environment/job/QA%20Transports/job/Werfen%20AU%20hotfix/</t>
  </si>
  <si>
    <t>Website AUSTRALIA hotfix</t>
  </si>
  <si>
    <t>Welisten</t>
  </si>
  <si>
    <t>welistenRelease</t>
  </si>
  <si>
    <t>job/WeListen/job/Production%20environment/job/QA%20Transports/job/Deploy%20site/</t>
  </si>
  <si>
    <t>28</t>
  </si>
  <si>
    <t>WeListen legacy</t>
  </si>
  <si>
    <t>welistenRelease1</t>
  </si>
  <si>
    <t>job/WeListen/job/Production%20environment/job/QA%20Transports/job/Deploy%20release/</t>
  </si>
  <si>
    <t>WeListen release</t>
  </si>
  <si>
    <t>welistenHotfix</t>
  </si>
  <si>
    <t>job/WeListen/job/Production%20environment/job/QA%20Transports/job/Deploy%20hotfix/</t>
  </si>
  <si>
    <t>WeListen hotfix</t>
  </si>
  <si>
    <t>WerfenFRRelease</t>
  </si>
  <si>
    <t>job/Werfen%20websites/job/Production%20environment/job/QA%20Transports/job/Werfen%20FR/</t>
  </si>
  <si>
    <t>9</t>
  </si>
  <si>
    <t>Website FRANCE legacy</t>
  </si>
  <si>
    <t>WerfenFRRelease1</t>
  </si>
  <si>
    <t>job/Werfen%20websites/job/Production%20environment/job/QA%20Transports/job/Werfen%20FR%20release/</t>
  </si>
  <si>
    <t>Website FRANCE release</t>
  </si>
  <si>
    <t>WerfenFRHotfix</t>
  </si>
  <si>
    <t>job/Werfen%20websites/job/Production%20environment/job/QA%20Transports/job/Werfen%20FR%20hotifx/</t>
  </si>
  <si>
    <t>Website FRANCE hotfix</t>
  </si>
  <si>
    <t>WerfenITRelease</t>
  </si>
  <si>
    <t>job/Werfen%20websites/job/Production%20environment/job/QA%20Transports/job/Werfen%20IT/</t>
  </si>
  <si>
    <t>11</t>
  </si>
  <si>
    <t>Website Italy legacy</t>
  </si>
  <si>
    <t>WerfenITRelease1</t>
  </si>
  <si>
    <t>job/Werfen%20websites/job/Production%20environment/job/QA%20Transports/job/Werfen%20IT%20release/</t>
  </si>
  <si>
    <t>Website Italy release</t>
  </si>
  <si>
    <t>WerfenITHotfix</t>
  </si>
  <si>
    <t>job/Werfen%20websites/job/Production%20environment/job/QA%20Transports/job/Werfen%20IT%20hotfix/</t>
  </si>
  <si>
    <t>Website Italy hotfix</t>
  </si>
  <si>
    <t>WerfenUKRelease</t>
  </si>
  <si>
    <t>job/Werfen%20websites/job/Production%20environment/job/QA%20Transports/job/Werfen%20UK/</t>
  </si>
  <si>
    <t>24</t>
  </si>
  <si>
    <t>Website UK legacy</t>
  </si>
  <si>
    <t>WerfenUKRelease1</t>
  </si>
  <si>
    <t>job/Werfen%20websites/job/Production%20environment/job/QA%20Transports/job/Werfen%20UK%20release/</t>
  </si>
  <si>
    <t>Website UK release</t>
  </si>
  <si>
    <t>WerfenUKHotfix</t>
  </si>
  <si>
    <t>job/Werfen%20websites/job/Production%20environment/job/QA%20Transports/job/Werfen%20UK%20hotfix/</t>
  </si>
  <si>
    <t>Website UK hotfix</t>
  </si>
  <si>
    <t>WerfenWWRelease</t>
  </si>
  <si>
    <t>job/Werfen%20websites/job/Production%20environment/job/QA%20Transports/job/Werfen%20WW/</t>
  </si>
  <si>
    <t>2</t>
  </si>
  <si>
    <t>Website Corporate legacy</t>
  </si>
  <si>
    <t>WerfenWWRelease1</t>
  </si>
  <si>
    <t>job/Werfen%20websites/job/Production%20environment/job/QA%20Transports/job/Werfen%20WW%20release/</t>
  </si>
  <si>
    <t>Website Corporate release</t>
  </si>
  <si>
    <t>WerfenWWHotfix</t>
  </si>
  <si>
    <t>job/Werfen%20websites/job/Production%20environment/job/QA%20Transports/job/Werfen%20WW%20hotfix/</t>
  </si>
  <si>
    <t>Website Corporate hotfix</t>
  </si>
  <si>
    <t>WerfenMXRelease</t>
  </si>
  <si>
    <t>job/Werfen%20websites/job/Production%20environment/job/QA%20Transports/job/Werfen%20MX/</t>
  </si>
  <si>
    <t>18</t>
  </si>
  <si>
    <t>Website Mexico legacy</t>
  </si>
  <si>
    <t>WerfenMXRelease1</t>
  </si>
  <si>
    <t>job/Werfen%20websites/job/Production%20environment/job/QA%20Transports/job/Werfen%20MX%20release/</t>
  </si>
  <si>
    <t>Website Mexico release</t>
  </si>
  <si>
    <t>WerfenMXHotfix</t>
  </si>
  <si>
    <t>job/Werfen%20websites/job/Production%20environment/job/QA%20Transports/job/Werfen%20MX%20hotfix/</t>
  </si>
  <si>
    <t>Website Mexico hotfix</t>
  </si>
  <si>
    <t>WerfenESRelease</t>
  </si>
  <si>
    <t>job/Werfen%20websites/job/Production%20environment/job/QA%20Transports/job/Werfen%20ES/</t>
  </si>
  <si>
    <t>23</t>
  </si>
  <si>
    <t>Website Spain legacy</t>
  </si>
  <si>
    <t>WerfenESRelease1</t>
  </si>
  <si>
    <t>job/Werfen%20websites/job/Production%20environment/job/QA%20Transports/job/Werfen%20ES%20release/</t>
  </si>
  <si>
    <t>Website Spain release</t>
  </si>
  <si>
    <t>WerfenESHotfix</t>
  </si>
  <si>
    <t>job/Werfen%20websites/job/Production%20environment/job/QA%20Transports/job/Werfen%20ES%20hotfix/</t>
  </si>
  <si>
    <t>Website Spain hotfix</t>
  </si>
  <si>
    <t>WerfenBeneluxRelease</t>
  </si>
  <si>
    <t>job/Werfen%20websites/job/Production%20environment/job/QA%20Transports/job/Werfen%20Benelux/</t>
  </si>
  <si>
    <t>5</t>
  </si>
  <si>
    <t>Website Benelux legacy</t>
  </si>
  <si>
    <t>WerfenBeneluxRelease1</t>
  </si>
  <si>
    <t>job/Werfen%20websites/job/Production%20environment/job/QA%20Transports/job/Werfen%20Benelux%20release/</t>
  </si>
  <si>
    <t>Website Benelux release</t>
  </si>
  <si>
    <t>WerfenBeneluxHotfix</t>
  </si>
  <si>
    <t>job/Werfen%20websites/job/Production%20environment/job/QA%20Transports/job/Werfen%20Benelux%20hotfix/</t>
  </si>
  <si>
    <t>Website Benelux hotfix</t>
  </si>
  <si>
    <t>WeNet</t>
  </si>
  <si>
    <t>wenetSSMweb</t>
  </si>
  <si>
    <t>job/WeNet/job/Production%20environment/job/QA%20Transports/job/SSM%20website/</t>
  </si>
  <si>
    <t>27</t>
  </si>
  <si>
    <t>SSM web legacy</t>
  </si>
  <si>
    <t>wenetRelease</t>
  </si>
  <si>
    <t>job/WeNet/job/Production%20environment/job/QA%20Transports/job/Deploy%20site/</t>
  </si>
  <si>
    <t>26</t>
  </si>
  <si>
    <t>WeNet legacy</t>
  </si>
  <si>
    <t>wenetRelease1</t>
  </si>
  <si>
    <t>job/WeNet/job/Production%20environment/job/QA%20Transports/job/Deploy%20release/</t>
  </si>
  <si>
    <t>WeNet release</t>
  </si>
  <si>
    <t>wenetHotfix</t>
  </si>
  <si>
    <t>job/WeNet/job/Production%20environment/job/QA%20Transports/job/Deploy%20hotfix/</t>
  </si>
  <si>
    <t>WeNet hotfix</t>
  </si>
  <si>
    <t>QlikSenseRelease</t>
  </si>
  <si>
    <t>job/Werfen%20websites/job/Production%20environment/job/QA%20Transports/job/QLikSense%20Release/</t>
  </si>
  <si>
    <t>25</t>
  </si>
  <si>
    <t>Website BI (QlikSense) legacy</t>
  </si>
  <si>
    <t>QlikSenseRelease1</t>
  </si>
  <si>
    <t>job/Werfen%20websites/job/Production%20environment/job/QA%20Transports/job/QLikSense%20release1/</t>
  </si>
  <si>
    <t>Website BI (QlikSense) release</t>
  </si>
  <si>
    <t>QlikSenseHotfix</t>
  </si>
  <si>
    <t>job/Werfen%20websites/job/Production%20environment/job/QA%20Transports/job/QLikSense%20hotfix/</t>
  </si>
  <si>
    <t>Website BI (QlikSense) hotfix</t>
  </si>
  <si>
    <t>WerfenDERelease</t>
  </si>
  <si>
    <t>job/Werfen%20websites/job/Production%20environment/job/QA%20Transports/job/Werfen%20DE/</t>
  </si>
  <si>
    <t>10</t>
  </si>
  <si>
    <t>Website Germany legacy</t>
  </si>
  <si>
    <t>WerfenDERelease1</t>
  </si>
  <si>
    <t>job/Werfen%20websites/job/Production%20environment/job/QA%20Transports/job/Werfen%20DE%20release/</t>
  </si>
  <si>
    <t>Website Germany release</t>
  </si>
  <si>
    <t>WerfenDEHotfix</t>
  </si>
  <si>
    <t>job/Werfen%20websites/job/Production%20environment/job/QA%20Transports/job/Werfen%20DE%20hotfix/</t>
  </si>
  <si>
    <t>Website Germany hotfix</t>
  </si>
  <si>
    <t>WerfenBRRelease</t>
  </si>
  <si>
    <t>job/Werfen%20websites/job/Production%20environment/job/QA%20Transports/job/Werfen%20BR/</t>
  </si>
  <si>
    <t>6</t>
  </si>
  <si>
    <t>Website Brazil legacy</t>
  </si>
  <si>
    <t>WerfenBRRelease1</t>
  </si>
  <si>
    <t>job/Werfen%20websites/job/Production%20environment/job/QA%20Transports/job/Werfen%20BR%20release/</t>
  </si>
  <si>
    <t>Website Brazil release</t>
  </si>
  <si>
    <t>WerfenBRHotfix</t>
  </si>
  <si>
    <t>job/Werfen%20websites/job/Production%20environment/job/QA%20Transports/job/Werfen%20BR%20hotfix/</t>
  </si>
  <si>
    <t>Website Brazil hotfix</t>
  </si>
  <si>
    <t>LeventonRelease</t>
  </si>
  <si>
    <t>job/Werfen%20websites/job/Production%20environment/job/QA%20Transports/job/Leventon/</t>
  </si>
  <si>
    <t>16</t>
  </si>
  <si>
    <t>Website Leventon legacy</t>
  </si>
  <si>
    <t>LeventonRelease1</t>
  </si>
  <si>
    <t>job/Werfen%20websites/job/Production%20environment/job/QA%20Transports/job/Website%20Leventon%20release/</t>
  </si>
  <si>
    <t>Website Leventon release</t>
  </si>
  <si>
    <t>LeventonHotfix</t>
  </si>
  <si>
    <t>job/Werfen%20websites/job/Production%20environment/job/QA%20Transports/job/Websote%20Leventon%20hotfix/</t>
  </si>
  <si>
    <t>Website Leventon hotfix</t>
  </si>
  <si>
    <t>WerfenPTRelease</t>
  </si>
  <si>
    <t>job/Werfen%20websites/job/Production%20environment/job/QA%20Transports/job/Werfen%20PT/</t>
  </si>
  <si>
    <t>21</t>
  </si>
  <si>
    <t>Website Portugal legacy</t>
  </si>
  <si>
    <t>WerfenPTRelease1</t>
  </si>
  <si>
    <t>job/Werfen%20websites/job/Production%20environment/job/QA%20Transports/job/Werfen%20PT%20release/</t>
  </si>
  <si>
    <t>Website Portugal release</t>
  </si>
  <si>
    <t>WerfenPTHotifx</t>
  </si>
  <si>
    <t>job/Werfen%20websites/job/Production%20environment/job/QA%20Transports/job/Werfen%20PT%20hotfix/</t>
  </si>
  <si>
    <t>Website Portugal hotfix</t>
  </si>
  <si>
    <t>WerfenKRRelease</t>
  </si>
  <si>
    <t>job/Werfen%20websites/job/Production%20environment/job/QA%20Transports/job/Werfen%20KR/</t>
  </si>
  <si>
    <t>15</t>
  </si>
  <si>
    <t>Website Korea legacy</t>
  </si>
  <si>
    <t>WerfenKRRelease1</t>
  </si>
  <si>
    <t>job/Werfen%20websites/job/Production%20environment/job/QA%20Transports/job/Werfen%20KR%20release/</t>
  </si>
  <si>
    <t>Website Korea release</t>
  </si>
  <si>
    <t>WerfenKRHotfix</t>
  </si>
  <si>
    <t>job/Werfen%20websites/job/Production%20environment/job/QA%20Transports/job/Werfen%20KR%20hotfix/</t>
  </si>
  <si>
    <t>Website Korea hotfix</t>
  </si>
  <si>
    <t>WerfenJPRelease</t>
  </si>
  <si>
    <t>job/Werfen%20websites/job/Production%20environment/job/QA%20Transports/job/Werfen%20JP/</t>
  </si>
  <si>
    <t>14</t>
  </si>
  <si>
    <t>Website Japan legacy</t>
  </si>
  <si>
    <t>WerfenJPRelease1</t>
  </si>
  <si>
    <t>job/Werfen%20websites/job/Production%20environment/job/QA%20Transports/job/Werfen%20JP%20release/</t>
  </si>
  <si>
    <t>Website Japan release</t>
  </si>
  <si>
    <t>WerfenJPHotfix</t>
  </si>
  <si>
    <t>job/Werfen%20websites/job/Production%20environment/job/QA%20Transports/job/Werfen%20JP%20hotfix/</t>
  </si>
  <si>
    <t>Website Japan hotfix</t>
  </si>
  <si>
    <t>WerfenCNRelease</t>
  </si>
  <si>
    <t>job/Werfen%20websites/job/Production%20environment/job/QA%20Transports/job/Werfen%20CN%20-%20AWS/</t>
  </si>
  <si>
    <t>7</t>
  </si>
  <si>
    <t>Website China AWS legacy</t>
  </si>
  <si>
    <t>WerfenCNRelease1</t>
  </si>
  <si>
    <t>job/Werfen%20websites/job/Production%20environment/job/QA%20Transports/job/Werfen%20CN%20-%20AWS%20release/</t>
  </si>
  <si>
    <t>Website China AWS release</t>
  </si>
  <si>
    <t>WerfenCNHotfix</t>
  </si>
  <si>
    <t>job/Werfen%20websites/job/Production%20environment/job/QA%20Transports/job/Werfen%20CN%20-%20AWS%20hotfix/</t>
  </si>
  <si>
    <t>Website China AWS hotfix</t>
  </si>
  <si>
    <t>WerfenOEMRelease</t>
  </si>
  <si>
    <t>job/Werfen%20websites/job/Production%20environment/job/QA%20Transports/job/Werfen%20OEM/</t>
  </si>
  <si>
    <t>20</t>
  </si>
  <si>
    <t>Website OEM legacy</t>
  </si>
  <si>
    <t>WerfenOEMRelease1</t>
  </si>
  <si>
    <t>job/Werfen%20websites/job/Production%20environment/job/QA%20Transports/job/Werfen%20OEM%20release/</t>
  </si>
  <si>
    <t>Website OEM releae</t>
  </si>
  <si>
    <t>WerfenOEMHotfix</t>
  </si>
  <si>
    <t>job/Werfen%20websites/job/Production%20environment/job/QA%20Transports/job/Werfen%20OEM%20hotfix/</t>
  </si>
  <si>
    <t>Website OEM hotfix</t>
  </si>
  <si>
    <t>WerfenNoAmRelease</t>
  </si>
  <si>
    <t>job/Werfen%20websites/job/Production%20environment/job/QA%20Transports/job/Werfen%20NoAm/</t>
  </si>
  <si>
    <t>19</t>
  </si>
  <si>
    <t>Website NoAm legacy</t>
  </si>
  <si>
    <t>WerfenNoAmRelease1</t>
  </si>
  <si>
    <t>job/Werfen%20websites/job/Production%20environment/job/QA%20Transports/job/Werfen%20NoAm%20release/</t>
  </si>
  <si>
    <t>Website NoAm release</t>
  </si>
  <si>
    <t>WerfenNoAmHotfix</t>
  </si>
  <si>
    <t>job/Werfen%20websites/job/Production%20environment/job/QA%20Transports/job/Werfen%20NoAm%20hotfix/</t>
  </si>
  <si>
    <t>Website NoAm hotfix</t>
  </si>
  <si>
    <t>WerfenATRelease</t>
  </si>
  <si>
    <t>job/Werfen%20websites/job/Production%20environment/job/QA%20Transports/job/Werfen%20AT/</t>
  </si>
  <si>
    <t>3</t>
  </si>
  <si>
    <t>Website Austria legacy</t>
  </si>
  <si>
    <t>TicketLine</t>
  </si>
  <si>
    <t>TicketLineRelease</t>
  </si>
  <si>
    <t>job/TicketLine/job/Production%20Environment/job/QA%20Transports/job/TicketLine/</t>
  </si>
  <si>
    <t>30</t>
  </si>
  <si>
    <t>TicketLine legacy</t>
  </si>
  <si>
    <t>WerfenATRelease1</t>
  </si>
  <si>
    <t>job/Werfen%20websites/job/Production%20environment/job/QA%20Transports/job/Werfen%20AT%20release/</t>
  </si>
  <si>
    <t>Website Austria release</t>
  </si>
  <si>
    <t>WerfenATHotfix</t>
  </si>
  <si>
    <t>job/Werfen%20websites/job/Production%20environment/job/QA%20Transports/job/Werfen%20AT%20hotfix/</t>
  </si>
  <si>
    <t>Website Austria hotfix</t>
  </si>
  <si>
    <t>TicketLineRelease1</t>
  </si>
  <si>
    <t>job/TicketLine/job/Production%20Environment/job/QA%20Transports/job/Deploy%20release/</t>
  </si>
  <si>
    <t>TicketLine release</t>
  </si>
  <si>
    <t>TicketLineHotfix</t>
  </si>
  <si>
    <t>job/TicketLine/job/Production%20Environment/job/QA%20Transports/job/Deploy%20hotfix/</t>
  </si>
  <si>
    <t>TicketLine hotfix</t>
  </si>
  <si>
    <t>SolrMiddlewareRelease</t>
  </si>
  <si>
    <t>job/TicketLine/job/Production%20Environment/job/QA%20Transports/job/Solr%20Middleware/</t>
  </si>
  <si>
    <t>42</t>
  </si>
  <si>
    <t>Solr Middleware legacy</t>
  </si>
  <si>
    <t>SolrMiddlewareRelease1</t>
  </si>
  <si>
    <t>job/TicketLine/job/Production%20Environment/job/QA%20Transports/job/Solr%20Middleware%20release/</t>
  </si>
  <si>
    <t>Solr Middleware release</t>
  </si>
  <si>
    <t>SolrMiddlewareHotfix</t>
  </si>
  <si>
    <t>job/TicketLine/job/Production%20Environment/job/QA%20Transports/job/Solr%20Middleware%20hotfix/</t>
  </si>
  <si>
    <t>Solr Middleware hotfix</t>
  </si>
  <si>
    <t>WerfenDocs</t>
  </si>
  <si>
    <t>WerfenDocsFullRelease</t>
  </si>
  <si>
    <t>job/WerfenDocs/job/Production/job/QA%20Transports/job/Werfen%20Docs%20Full%20Release/</t>
  </si>
  <si>
    <t>29</t>
  </si>
  <si>
    <t>Werfen DOCS legacy</t>
  </si>
  <si>
    <t>WerfenDocsRelease</t>
  </si>
  <si>
    <t>job/WerfenDocs/job/Production/job/QA%20Transports/job/Werfen%20Docs%20release/</t>
  </si>
  <si>
    <t>Werfen Docs release</t>
  </si>
  <si>
    <t>WerfenDocsHotfix</t>
  </si>
  <si>
    <t>job/WerfenDocs/job/Production/job/QA%20Transports/job/Werfen%20Docs%20hotfix/</t>
  </si>
  <si>
    <t>Werfen Docs hotfix</t>
  </si>
  <si>
    <t>CasePortal</t>
  </si>
  <si>
    <t>CasePortalRelease</t>
  </si>
  <si>
    <t>job/Case%20Portal%20(Legacy)/job/Production%20Environment/job/QA%20Transports/job/Case%20Portal%20Legacy/</t>
  </si>
  <si>
    <t>31</t>
  </si>
  <si>
    <t>Old Case Portal legacy</t>
  </si>
  <si>
    <t>MiddlewareADPRelease</t>
  </si>
  <si>
    <t>job/Middleware%20ADP/job/Production%20environment/job/QA%20Transports/job/Deploy%20site/</t>
  </si>
  <si>
    <t>43</t>
  </si>
  <si>
    <t>Middleware ADP legacy</t>
  </si>
  <si>
    <t>MiddlewareADPRelease1</t>
  </si>
  <si>
    <t>job/Middleware%20ADP/job/Production%20environment/job/QA%20Transports/job/Deploy%20release/</t>
  </si>
  <si>
    <t>Middleware ADP release</t>
  </si>
  <si>
    <t>MiddlewareADPHotfix</t>
  </si>
  <si>
    <t>job/Middleware%20ADP/job/Production%20environment/job/QA%20Transports/job/Deploy%20hotfix/</t>
  </si>
  <si>
    <t>Middleware ADP hotfix</t>
  </si>
  <si>
    <t>MonthlyReport</t>
  </si>
  <si>
    <t>MonthlyReportRelease</t>
  </si>
  <si>
    <t>job/Monthly%20Report/job/Production%20Environment/job/QA%20Transports/job/Deploy/</t>
  </si>
  <si>
    <t>44</t>
  </si>
  <si>
    <t>MonthlyReport legacy</t>
  </si>
  <si>
    <t>MonthlyReportRelease1</t>
  </si>
  <si>
    <t>job/Monthly%20Report/job/Production%20Environment/job/QA%20Transports/job/Deploy%20release/</t>
  </si>
  <si>
    <t>MonthlyReport release</t>
  </si>
  <si>
    <t>MonthlyReportHotfix</t>
  </si>
  <si>
    <t>job/Monthly%20Report/job/Production%20Environment/job/QA%20Transports/job/Deploy%20hotfix/</t>
  </si>
  <si>
    <t>MonthlyReport hotfix</t>
  </si>
  <si>
    <t>myClaims</t>
  </si>
  <si>
    <t>myClaimsRelease</t>
  </si>
  <si>
    <t>job/myClaims/job/Production%20Environment/job/QA%20Transports/job/Deploy%20to%20prod/</t>
  </si>
  <si>
    <t>45</t>
  </si>
  <si>
    <t>myClaims legacy</t>
  </si>
  <si>
    <t>myClaimsRelease1</t>
  </si>
  <si>
    <t>job/myClaims/job/Production%20Environment/job/QA%20Transports/job/Deploy%20release/</t>
  </si>
  <si>
    <t>myClaims release</t>
  </si>
  <si>
    <t>myClaimsHotfix</t>
  </si>
  <si>
    <t>myClaims hotfix</t>
  </si>
  <si>
    <t>myClaimsCNRelease</t>
  </si>
  <si>
    <t>job/myClaims/job/Production%20Environment/job/QA%20Transports/job/Deploy%20to%20prod%20CN/</t>
  </si>
  <si>
    <t>46</t>
  </si>
  <si>
    <t>myClaimsChina</t>
  </si>
  <si>
    <t>myClaimsCNRelease1</t>
  </si>
  <si>
    <t>job/myClaims/job/Production%20Environment/job/QA%20Transports/job/Deploy%20CN%20release/</t>
  </si>
  <si>
    <t>myClaimsChina release</t>
  </si>
  <si>
    <t>myClaimsCNHotfix</t>
  </si>
  <si>
    <t>job/myClaims/job/Production%20Environment/job/QA%20Transports/job/Deploy%20CN%20hotfix/</t>
  </si>
  <si>
    <t>myClaimsChina hotfix</t>
  </si>
  <si>
    <t>myOrders</t>
  </si>
  <si>
    <t>myOrdersRelease</t>
  </si>
  <si>
    <t>job/myOrders/job/Production%20Environment/job/QA%20Transport/job/QA%20Transport/</t>
  </si>
  <si>
    <t>47</t>
  </si>
  <si>
    <t>myOrderslegacy</t>
  </si>
  <si>
    <t>myOrdersRelease1</t>
  </si>
  <si>
    <t>job/myOrders/job/Production%20Environment/job/QA%20Transport/job/Deploy%20release/</t>
  </si>
  <si>
    <t>myOrders Release</t>
  </si>
  <si>
    <t>myOrdersHotfix</t>
  </si>
  <si>
    <t>job/myOrders/job/Production%20Environment/job/QA%20Transport/job/Deploy%20hotfix/</t>
  </si>
  <si>
    <t>myOrders Hotfix</t>
  </si>
  <si>
    <t>myOrdersCNRelease</t>
  </si>
  <si>
    <t>job/myOrders/job/Production%20Environment/job/QA%20Transport/job/Deploy%20to%20prod%20CN/</t>
  </si>
  <si>
    <t>myOrdersChina release</t>
  </si>
  <si>
    <t>myOrdersCNHotfix</t>
  </si>
  <si>
    <t>job/myOrders/job/Production%20Environment/job/QA%20Transport/job/Deploy%20to%20prod%20CN%20Hotfix/</t>
  </si>
  <si>
    <t>myOrdersChina hotfix</t>
  </si>
  <si>
    <t>WerfenTower</t>
  </si>
  <si>
    <t>WerfenTowerRelease</t>
  </si>
  <si>
    <t>job/Tower/job/Production%20Environment/job/QA%20Transports/job/Tower/</t>
  </si>
  <si>
    <t>41</t>
  </si>
  <si>
    <t>WerfenTower legacy</t>
  </si>
  <si>
    <t>WerfenTowerRelease1</t>
  </si>
  <si>
    <t>job/Tower/job/Production%20Environment/job/QA%20Transports/job/Deploy%20release/</t>
  </si>
  <si>
    <t>WerfenTower release</t>
  </si>
  <si>
    <t>WerfenTowerHotfix</t>
  </si>
  <si>
    <t>job/Tower/job/Production%20Environment/job/QA%20Transports/job/Deploy%20hotfix/</t>
  </si>
  <si>
    <t>WerfenTower hotfix</t>
  </si>
  <si>
    <t>WeLearn</t>
  </si>
  <si>
    <t>WeLearnRelease</t>
  </si>
  <si>
    <t>job/LMS/job/Production%20environment/job/QA%20Transports/job/WeLearn/</t>
  </si>
  <si>
    <t>34</t>
  </si>
  <si>
    <t>WeLearn legacy</t>
  </si>
  <si>
    <t>WeLearnRelease1</t>
  </si>
  <si>
    <t>job/LMS/job/Production%20environment/job/QA%20Transports/job/WeLearn%20release/</t>
  </si>
  <si>
    <t>WeLearn release</t>
  </si>
  <si>
    <t>WeLearnHotfix</t>
  </si>
  <si>
    <t>job/LMS/job/Production%20environment/job/QA%20Transports/job/WeLearn%20hotfix/</t>
  </si>
  <si>
    <t>WeLearn hotfix</t>
  </si>
  <si>
    <t>Werfen Academy</t>
  </si>
  <si>
    <t>WerfenAcademyRelease</t>
  </si>
  <si>
    <t>job/LMS/job/Production%20environment/job/QA%20Transports/job/Release%20job%20academy/</t>
  </si>
  <si>
    <t>35</t>
  </si>
  <si>
    <t>Werfen Academy legacy</t>
  </si>
  <si>
    <t>WerfenAcademyRelease1</t>
  </si>
  <si>
    <t>job/LMS/job/Production%20environment/job/QA%20Transports/job/Academy%20release/</t>
  </si>
  <si>
    <t>Werfen Academy release</t>
  </si>
  <si>
    <t>WerfenAcademyHotfix</t>
  </si>
  <si>
    <t>job/LMS/job/Production%20environment/job/QA%20Transports/job/Academy%20hotfix/</t>
  </si>
  <si>
    <t>Werfen Academy hotfix</t>
  </si>
  <si>
    <t>WerfenAcademyChinaRelease</t>
  </si>
  <si>
    <t>job/LMS/job/Production%20environment/job/QA%20Transports/job/Release%20job%20academy%20China/</t>
  </si>
  <si>
    <t>48</t>
  </si>
  <si>
    <t>Werfen Academy China legacy</t>
  </si>
  <si>
    <t>WerfenAcademyChinaRelease1</t>
  </si>
  <si>
    <t>job/LMS/job/Production%20environment/job/QA%20Transports/job/Academy%20CN%20release/</t>
  </si>
  <si>
    <t>Werfen Academy China release</t>
  </si>
  <si>
    <t>WerfenAcademyChinaHotfix</t>
  </si>
  <si>
    <t>job/LMS/job/Production%20environment/job/QA%20Transports/job/Academy%20CN%20hotfix/</t>
  </si>
  <si>
    <t>Werfen Academy China hotfix</t>
  </si>
  <si>
    <t>WerfenAcademyDosiFuserRelease</t>
  </si>
  <si>
    <t>job/LMS/job/Production%20environment/job/QA%20Transports/job/Release%20job%20Dosi-fuser/</t>
  </si>
  <si>
    <t>49</t>
  </si>
  <si>
    <t>Werfen Academy DosiFuser legacy</t>
  </si>
  <si>
    <t>WerfenAcademyDosiFuserRelease1</t>
  </si>
  <si>
    <t>job/LMS/job/Production%20environment/job/QA%20Transports/job/Dosi-fuser%20release/</t>
  </si>
  <si>
    <t>Werfen Academy DosiFuser release</t>
  </si>
  <si>
    <t>WerfenAcademyDosiFuserHotfix</t>
  </si>
  <si>
    <t>job/LMS/job/Production%20environment/job/QA%20Transports/job/Dosi-fuser%20hotfix/</t>
  </si>
  <si>
    <t>Werfen Academy DosiFuser hotfix</t>
  </si>
  <si>
    <t>Distributors Portal</t>
  </si>
  <si>
    <t>DISTRIBUTORS_PORTAL_PRODUCTION_QA_TRANSPORT</t>
  </si>
  <si>
    <t>job/Distributors%20Portal%20(E-business)/job/Production%20Environment/job/QA%20Transport/job/Distributors%20Portal%20Deploy/</t>
  </si>
  <si>
    <t>36</t>
  </si>
  <si>
    <t>Distributors Portal legacy</t>
  </si>
  <si>
    <t>DISTRIBUTORS_PORTAL_PRODUCTION_QA_TRANSPORT1</t>
  </si>
  <si>
    <t>job/Distributors%20Portal%20(E-business)/job/Production%20Environment/job/QA%20Transport/job/Deploy%20release/</t>
  </si>
  <si>
    <t>Distributors Portal release</t>
  </si>
  <si>
    <t>DISTRIBUTORS_PORTAL_PRODUCTION_QA_TRANSPORT_HOTFIX</t>
  </si>
  <si>
    <t>job/Distributors%20Portal%20(E-business)/job/Production%20Environment/job/QA%20Transport/job/Deploy%20hotfix/</t>
  </si>
  <si>
    <t>Distributors Portal hotfix</t>
  </si>
  <si>
    <t>IVD Market Watch</t>
  </si>
  <si>
    <t>IVDMarketWatchRelease</t>
  </si>
  <si>
    <t>job/IVD%20Market%20Watch/job/Production%20Environment/job/QA%20Transports/job/IVD%20Market%20Watch/</t>
  </si>
  <si>
    <t>37</t>
  </si>
  <si>
    <t>IVD Market Watch legacy</t>
  </si>
  <si>
    <t>IVDMarketWatchRelease1</t>
  </si>
  <si>
    <t>job/IVD%20Market%20Watch/job/Production%20Environment/job/QA%20Transports/job/Deploy%20release/</t>
  </si>
  <si>
    <t>IVD Market Watch release</t>
  </si>
  <si>
    <t>IVDMarketWatchHotfix</t>
  </si>
  <si>
    <t>job/IVD%20Market%20Watch/job/Production%20Environment/job/QA%20Transports/job/Deploy%20hotfix/</t>
  </si>
  <si>
    <t>IVD Market Watch hotfix</t>
  </si>
  <si>
    <t>Customer Portal</t>
  </si>
  <si>
    <t>CUSTOMER_PORTAL_PRODUCTION_QA_TRANSPORT</t>
  </si>
  <si>
    <t>job/CustomersPortal/job/Production%20Environment/job/Customers%20Portal%20QA%20Transport/</t>
  </si>
  <si>
    <t>38</t>
  </si>
  <si>
    <t>Customer Portal legacy</t>
  </si>
  <si>
    <t>CUSTOMER_PORTAL_PRODUCTION_QA_TRANSPORT1</t>
  </si>
  <si>
    <t>job/CustomersPortal/job/Production%20Environment/job/QA%20Transport/job/Deploy%20release/</t>
  </si>
  <si>
    <t>Customer Portal release</t>
  </si>
  <si>
    <t>CUSTOMER_PORTAL_PRODUCTION_QA_TRANSPORT_HOTFIX</t>
  </si>
  <si>
    <t>job/CustomersPortal/job/Production%20Environment/job/QA%20Transport/job/Deploy%20hotfix/</t>
  </si>
  <si>
    <t>Customer Portal hotfix</t>
  </si>
  <si>
    <t>WerfenTouch</t>
  </si>
  <si>
    <t>WerfenTouchWebRelease</t>
  </si>
  <si>
    <t>job/WerfenTouch/job/Backend/job/Production%20Enviroment/job/QA%20Transports/job/Deploy%20to%20prod/</t>
  </si>
  <si>
    <t>50</t>
  </si>
  <si>
    <t>WerfenTouch Web legacy</t>
  </si>
  <si>
    <t>WerfenTouchWebRelease1</t>
  </si>
  <si>
    <t>job/WerfenTouch/job/Backend/job/Production%20Enviroment/job/QA%20Transports/job/Deploy%20release/</t>
  </si>
  <si>
    <t>WerfenTouch Web release</t>
  </si>
  <si>
    <t>WerfenTouchWebHotfix</t>
  </si>
  <si>
    <t>job/WerfenTouch/job/Backend/job/Production%20Enviroment/job/QA%20Transports/job/Deploy%20hotfix/</t>
  </si>
  <si>
    <t>WerfenTouch Web hotfix</t>
  </si>
  <si>
    <t>WerfenTouchChinaWebRelease</t>
  </si>
  <si>
    <t>job/WerfenTouch/job/Production%20environment/job/Websites/job/QA%20Transports/job/WerfenTouch%20China/</t>
  </si>
  <si>
    <t>51</t>
  </si>
  <si>
    <t>WerfenTouch China Web</t>
  </si>
  <si>
    <t>Accriva Tickets</t>
  </si>
  <si>
    <t>ACCRIVA_TICKETS_PRODUCTION_QA_TRANSPORT</t>
  </si>
  <si>
    <t>job/AccrivaTickets/job/Production%20Environment/job/Accriva%20Tickets%20QA%20Transport/</t>
  </si>
  <si>
    <t>40</t>
  </si>
  <si>
    <t>Accriva Tickets legacy</t>
  </si>
  <si>
    <t>ACCRIVA_TICKETS_PRODUCTION_QA_TRANSPORT1</t>
  </si>
  <si>
    <t>job/AccrivaTickets/job/Production%20Environment/job/QA%20Transports/job/Deploy%20release/</t>
  </si>
  <si>
    <t>Accriva Tickets release</t>
  </si>
  <si>
    <t>ACCRIVA_TICKETS_PRODUCTION_QA_TRANSPORT_HOTFIX</t>
  </si>
  <si>
    <t>job/AccrivaTickets/job/Production%20Environment/job/QA%20Transports/job/Deploy%20hotfix/</t>
  </si>
  <si>
    <t>Accriva Tickets hotfix</t>
  </si>
  <si>
    <t>WebsMiddlewareApp_Release</t>
  </si>
  <si>
    <t>job/Werfen%20websites/job/Production%20environment/job/QA%20Transports/job/Middleware%20release/</t>
  </si>
  <si>
    <t>Websites middleware release</t>
  </si>
  <si>
    <t>WebsMiddlewareApp_Hotfix</t>
  </si>
  <si>
    <t>job/Werfen%20websites/job/Production%20environment/job/QA%20Transports/job/Middleware%20hotfix/</t>
  </si>
  <si>
    <t>Websites middleware hotfix</t>
  </si>
  <si>
    <t>WerfenDocs10Hotfix</t>
  </si>
  <si>
    <t>job/WerfenDocs/job/Production/job/QA%20Transports/job/Deploy%20hotfix/</t>
  </si>
  <si>
    <t>Werfen Docs Drupal 10 hotfix</t>
  </si>
  <si>
    <t>WerfenDocs10Release</t>
  </si>
  <si>
    <t>job/WerfenDocs/job/Production/job/QA%20Transports/job/Deploy%20release/</t>
  </si>
  <si>
    <t>Werfen Docs Drupal 10 release</t>
  </si>
  <si>
    <t>Vendors Portal</t>
  </si>
  <si>
    <t>VendorsPortalRelease</t>
  </si>
  <si>
    <t>job/Vendors%20Portal/job/Production%20environment/job/QA%20Transports/job/Deploy%20Legacy/</t>
  </si>
  <si>
    <t>Vendors Portal Legacy</t>
  </si>
  <si>
    <t>VendorsPortalRelease1</t>
  </si>
  <si>
    <t>job/Vendors%20Portal/job/Production%20environment/job/QA%20Transports/job/Deploy%20Release/</t>
  </si>
  <si>
    <t>Vendors Portal Release</t>
  </si>
  <si>
    <t>VendorsPortalHotfix</t>
  </si>
  <si>
    <t>job/Vendors%20Portal/job/Production%20environment/job/QA%20Transports/job/Deploy%20Hotfix/</t>
  </si>
  <si>
    <t>Vendors Portal Hotfix</t>
  </si>
  <si>
    <t>Jenkins ID</t>
  </si>
  <si>
    <t>Description</t>
  </si>
  <si>
    <t>Transport Job URL</t>
  </si>
  <si>
    <t>Transport Result URL</t>
  </si>
  <si>
    <t>API Token</t>
  </si>
  <si>
    <t>Valid to</t>
  </si>
  <si>
    <t>=Transports!$G94</t>
  </si>
  <si>
    <t>1197e97c0e27b3d81eb7b1f5597b55952a</t>
  </si>
  <si>
    <t>Published January 31, 2022</t>
  </si>
  <si>
    <t>Expires June 30, 2022</t>
  </si>
  <si>
    <t>All werfen.com sites</t>
  </si>
  <si>
    <t>MedCor</t>
  </si>
  <si>
    <t>MedCorRelease</t>
  </si>
  <si>
    <t>job/Werfen%20websites/job/Production%20environment/job/QA%20Transports/job/MedCor/</t>
  </si>
  <si>
    <t>Website Czechia</t>
  </si>
  <si>
    <t>Website Russia</t>
  </si>
  <si>
    <t>Website AUSTRALIA</t>
  </si>
  <si>
    <t>WeListen</t>
  </si>
  <si>
    <t>job/WeListen/job/WeListen%20Deploy%20to%20Prod/</t>
  </si>
  <si>
    <t>Website FRANCE</t>
  </si>
  <si>
    <t>Website Italy</t>
  </si>
  <si>
    <t>Website UK</t>
  </si>
  <si>
    <t>Website Corporate</t>
  </si>
  <si>
    <t>Website Mexico</t>
  </si>
  <si>
    <t>Website Spain</t>
  </si>
  <si>
    <t>Website Benelux</t>
  </si>
  <si>
    <t>Biokit - OLD</t>
  </si>
  <si>
    <t>BiokitRelease</t>
  </si>
  <si>
    <t>job/Werfen%20websites/job/Production%20environment/job/QA%20Transports/job/Biokit/</t>
  </si>
  <si>
    <t>Inova - no longuer used</t>
  </si>
  <si>
    <t>InovaRelease</t>
  </si>
  <si>
    <t>job/Werfen%20websites/job/Production%20environment/job/QA%20Transports/job/Inova/</t>
  </si>
  <si>
    <t>Test</t>
  </si>
  <si>
    <t>qaJob1</t>
  </si>
  <si>
    <t>job/Werfen%20websites/job/Production%20environment/job/QA%20Transports/job/QA%20Transport%20Test/</t>
  </si>
  <si>
    <t>Website Izasa Medical</t>
  </si>
  <si>
    <t>IzasaHospitalRelease</t>
  </si>
  <si>
    <t>job/Werfen%20websites/job/Production%20environment/job/QA%20Transports/job/Izasa%20Hospital/</t>
  </si>
  <si>
    <t>SSM web</t>
  </si>
  <si>
    <t>job/WeNet/job/SSM%20website/</t>
  </si>
  <si>
    <t>job/WeNet/job/QA%20Transports/job/WeNet/</t>
  </si>
  <si>
    <t>Website BI (QlikSense)</t>
  </si>
  <si>
    <t>IL WW - old</t>
  </si>
  <si>
    <t>ILWWRelease</t>
  </si>
  <si>
    <t>job/Werfen%20websites/job/Production%20environment/job/QA%20Transports/job/IL%20WW/</t>
  </si>
  <si>
    <t>IL NoAm - old</t>
  </si>
  <si>
    <t>ILNoAmRelease</t>
  </si>
  <si>
    <t>job/Werfen%20websites/job/Production%20environment/job/QA%20Transports/job/IL%20NoAm/</t>
  </si>
  <si>
    <t>Website Germany</t>
  </si>
  <si>
    <t>Website Brazil</t>
  </si>
  <si>
    <t>Website Leventon</t>
  </si>
  <si>
    <t>Website Portugal</t>
  </si>
  <si>
    <t>Website Korea</t>
  </si>
  <si>
    <t>Website Japan</t>
  </si>
  <si>
    <t>Website Izasa Scientific</t>
  </si>
  <si>
    <t>IzasaScientificRelease</t>
  </si>
  <si>
    <t>job/Werfen%20websites/job/Production%20environment/job/QA%20Transports/job/Izasa%20Scientific/</t>
  </si>
  <si>
    <t>Website China AWS</t>
  </si>
  <si>
    <t>Website OEM</t>
  </si>
  <si>
    <t>Website NoAm</t>
  </si>
  <si>
    <t>Website Austria</t>
  </si>
  <si>
    <t>job/TicketLine/job/QA%20Transports/job/TicketLine/</t>
  </si>
  <si>
    <t>Werfen Docs</t>
  </si>
  <si>
    <t>Werfen DOCS</t>
  </si>
  <si>
    <t>Case Portal</t>
  </si>
  <si>
    <t>job/Case%20Portal/job/QA%20Transports/job/Case%20Portal/</t>
  </si>
  <si>
    <t>ExperienceDB</t>
  </si>
  <si>
    <t>ExperienceDBRelease</t>
  </si>
  <si>
    <t>job/ExperienceDB/job/QA%20Transports/job/ExperienceDB/</t>
  </si>
  <si>
    <t>job/Monthly%20Report/job/QA%20Transports/job/Monthly%20Report/</t>
  </si>
  <si>
    <t>job/Tower/job/QA%20Transports/job/Tower/</t>
  </si>
  <si>
    <t>Webline</t>
  </si>
  <si>
    <t>WeblineRelease</t>
  </si>
  <si>
    <t>job/WebLine/job/QA%20Transports/job/WebLine%20197-198-199/</t>
  </si>
  <si>
    <t>WeblineLite</t>
  </si>
  <si>
    <t>WeblineLiteRelease</t>
  </si>
  <si>
    <t>job/Webline%20Lite/job/QA%20transports/job/Webline%20Lite/</t>
  </si>
  <si>
    <t>job/WeLearn/job/QA%20Transports/job/WeLearn/</t>
  </si>
  <si>
    <t>job/Werfen%20Academy/job/QA%20Transports/job/Werfen%20Academy/</t>
  </si>
  <si>
    <t>job/Distributors%20Portal%20(E-business)/job/Distributors%20Portal%20QA%20Transport/</t>
  </si>
  <si>
    <t>job/IVD%20Market%20Watch/job/QA%20Transports/job/IVD%20Market%20Watch/</t>
  </si>
  <si>
    <t>job/CustomersPortal/job/Customers%20Portal%20QA%20Transport/</t>
  </si>
  <si>
    <t>VendorsPortalProd</t>
  </si>
  <si>
    <t>job/Vendors%20Portal/job/Production/job/QA%20Transports/job/Release%20to%20Production/</t>
  </si>
  <si>
    <t>WerfenTouch Web</t>
  </si>
  <si>
    <t>job/WerfenTouch/job/Production%20environment/job/Websites/job/QA%20Transports/job/WerfenTouch/</t>
  </si>
  <si>
    <t>ScienceGo</t>
  </si>
  <si>
    <t>ScienceGoWebRelease</t>
  </si>
  <si>
    <t>job/WerfenTouch/job/Production%20environment/job/Websites/job/QA%20Transports/job/ScienceGo/</t>
  </si>
  <si>
    <t>job/AccrivaTickets/job/Accriva%20Tickets%20QA%20Transport/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</si>
</sst>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yyyy\-mm\-dd;@"/>
  </numFmts>
  <fonts count="1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sz val="10"/>
      <name val="Calibri"/>
      <family val="2"/>
      <scheme val="minor"/>
    </font>
    <font>
      <sz val="12"/>
      <color theme="5" tint="-0.249977111117893"/>
      <name val="Calibri (Body)"/>
    </font>
    <font>
      <sz val="12"/>
      <color theme="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2CC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49" fontId="2" fillId="2" borderId="0" xfId="0" applyNumberFormat="1" applyFont="1" applyFill="1" applyAlignment="1">
      <alignment horizontal="left"/>
    </xf>
    <xf numFmtId="49" fontId="0" fillId="2" borderId="0" xfId="0" applyNumberFormat="1" applyFill="1"/>
    <xf numFmtId="0" fontId="0" fillId="2" borderId="0" xfId="0" applyFill="1" applyAlignment="1">
      <alignment wrapText="1"/>
    </xf>
    <xf numFmtId="0" fontId="1" fillId="2" borderId="0" xfId="0" applyFont="1" applyFill="1" applyAlignment="1">
      <alignment horizontal="right" wrapText="1"/>
    </xf>
    <xf numFmtId="49" fontId="2" fillId="2" borderId="0" xfId="0" applyNumberFormat="1" applyFont="1" applyFill="1" applyAlignment="1" applyProtection="1">
      <alignment horizontal="left"/>
      <protection locked="0"/>
    </xf>
    <xf numFmtId="0" fontId="0" fillId="2" borderId="0" xfId="0" applyFill="1" applyAlignment="1">
      <alignment horizontal="left" vertical="top"/>
    </xf>
    <xf numFmtId="49" fontId="0" fillId="2" borderId="0" xfId="0" applyNumberFormat="1" applyFill="1" applyAlignment="1">
      <alignment horizontal="left" vertical="top"/>
    </xf>
    <xf numFmtId="49" fontId="0" fillId="2" borderId="0" xfId="0" applyNumberFormat="1" applyFill="1" applyAlignment="1">
      <alignment vertical="top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1" fillId="4" borderId="1" xfId="0" applyFont="1" applyFill="1" applyBorder="1"/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0" fillId="5" borderId="1" xfId="0" applyFill="1" applyBorder="1" applyAlignment="1">
      <alignment wrapText="1"/>
    </xf>
    <xf numFmtId="49" fontId="0" fillId="2" borderId="1" xfId="0" applyNumberFormat="1" applyFill="1" applyBorder="1"/>
    <xf numFmtId="0" fontId="0" fillId="2" borderId="1" xfId="0" applyFill="1" applyBorder="1"/>
    <xf numFmtId="0" fontId="0" fillId="6" borderId="1" xfId="0" applyFill="1" applyBorder="1" applyAlignment="1">
      <alignment wrapText="1"/>
    </xf>
    <xf numFmtId="49" fontId="1" fillId="4" borderId="2" xfId="0" applyNumberFormat="1" applyFont="1" applyFill="1" applyBorder="1"/>
    <xf numFmtId="0" fontId="0" fillId="2" borderId="3" xfId="0" applyFill="1" applyBorder="1" applyAlignment="1">
      <alignment horizontal="left" vertical="top"/>
    </xf>
    <xf numFmtId="49" fontId="0" fillId="2" borderId="3" xfId="0" applyNumberFormat="1" applyFill="1" applyBorder="1" applyAlignment="1">
      <alignment horizontal="left" vertical="top"/>
    </xf>
    <xf numFmtId="0" fontId="0" fillId="6" borderId="3" xfId="0" applyFill="1" applyBorder="1" applyAlignment="1">
      <alignment wrapText="1"/>
    </xf>
    <xf numFmtId="0" fontId="1" fillId="4" borderId="4" xfId="0" applyFont="1" applyFill="1" applyBorder="1" applyAlignment="1">
      <alignment horizontal="left" vertical="top"/>
    </xf>
    <xf numFmtId="49" fontId="1" fillId="4" borderId="5" xfId="0" applyNumberFormat="1" applyFont="1" applyFill="1" applyBorder="1" applyAlignment="1">
      <alignment horizontal="left" vertical="top"/>
    </xf>
    <xf numFmtId="49" fontId="1" fillId="4" borderId="6" xfId="0" applyNumberFormat="1" applyFont="1" applyFill="1" applyBorder="1" applyAlignment="1">
      <alignment vertical="top"/>
    </xf>
    <xf numFmtId="49" fontId="0" fillId="3" borderId="0" xfId="0" applyNumberFormat="1" applyFill="1" applyAlignment="1">
      <alignment vertical="top"/>
    </xf>
    <xf numFmtId="49" fontId="0" fillId="3" borderId="3" xfId="0" applyNumberFormat="1" applyFill="1" applyBorder="1" applyAlignment="1">
      <alignment vertical="top"/>
    </xf>
    <xf numFmtId="49" fontId="0" fillId="3" borderId="1" xfId="0" applyNumberFormat="1" applyFill="1" applyBorder="1" applyAlignment="1">
      <alignment vertical="top"/>
    </xf>
    <xf numFmtId="0" fontId="0" fillId="3" borderId="0" xfId="0" applyFill="1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7" borderId="0" xfId="0" applyFill="1" applyAlignment="1">
      <alignment horizontal="left" vertical="top"/>
    </xf>
    <xf numFmtId="0" fontId="3" fillId="2" borderId="0" xfId="0" applyFont="1" applyFill="1" applyAlignment="1" applyProtection="1">
      <alignment horizontal="left"/>
      <protection locked="0"/>
    </xf>
    <xf numFmtId="0" fontId="1" fillId="4" borderId="5" xfId="0" applyFont="1" applyFill="1" applyBorder="1" applyAlignment="1">
      <alignment vertical="top"/>
    </xf>
    <xf numFmtId="0" fontId="0" fillId="5" borderId="3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49" fontId="5" fillId="8" borderId="0" xfId="0" applyNumberFormat="1" applyFont="1" applyFill="1" applyAlignment="1">
      <alignment vertical="top"/>
    </xf>
    <xf numFmtId="0" fontId="6" fillId="2" borderId="1" xfId="0" applyFont="1" applyFill="1" applyBorder="1" applyAlignment="1">
      <alignment horizontal="left" vertical="top"/>
    </xf>
    <xf numFmtId="0" fontId="0" fillId="6" borderId="1" xfId="0" applyFill="1" applyBorder="1" applyAlignment="1">
      <alignment vertical="top" wrapText="1"/>
    </xf>
    <xf numFmtId="0" fontId="1" fillId="4" borderId="7" xfId="0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vertical="top"/>
    </xf>
    <xf numFmtId="49" fontId="0" fillId="0" borderId="3" xfId="0" applyNumberFormat="1" applyBorder="1" applyAlignment="1">
      <alignment horizontal="left" vertical="top"/>
    </xf>
    <xf numFmtId="0" fontId="0" fillId="0" borderId="3" xfId="0" applyBorder="1" applyAlignment="1">
      <alignment vertical="top" wrapText="1"/>
    </xf>
    <xf numFmtId="0" fontId="0" fillId="0" borderId="1" xfId="0" applyBorder="1"/>
    <xf numFmtId="49" fontId="0" fillId="0" borderId="3" xfId="0" applyNumberFormat="1" applyBorder="1" applyAlignment="1" applyProtection="1">
      <alignment vertical="top" wrapText="1"/>
      <protection locked="0"/>
    </xf>
    <xf numFmtId="164" fontId="1" fillId="4" borderId="5" xfId="0" applyNumberFormat="1" applyFont="1" applyFill="1" applyBorder="1" applyAlignment="1">
      <alignment vertical="top"/>
    </xf>
    <xf numFmtId="164" fontId="0" fillId="0" borderId="3" xfId="0" applyNumberFormat="1" applyBorder="1" applyAlignment="1" applyProtection="1">
      <alignment vertical="top" wrapText="1"/>
      <protection locked="0"/>
    </xf>
    <xf numFmtId="164" fontId="0" fillId="5" borderId="1" xfId="0" applyNumberFormat="1" applyFill="1" applyBorder="1" applyAlignment="1">
      <alignment wrapText="1"/>
    </xf>
    <xf numFmtId="164" fontId="0" fillId="5" borderId="0" xfId="0" applyNumberFormat="1" applyFill="1" applyAlignment="1">
      <alignment wrapText="1"/>
    </xf>
    <xf numFmtId="164" fontId="5" fillId="8" borderId="0" xfId="0" applyNumberFormat="1" applyFont="1" applyFill="1" applyAlignment="1">
      <alignment horizontal="left" vertical="top"/>
    </xf>
    <xf numFmtId="49" fontId="8" fillId="9" borderId="1" xfId="0" applyNumberFormat="1" applyFont="1" applyFill="1" applyBorder="1" applyAlignment="1">
      <alignment vertical="top"/>
    </xf>
    <xf numFmtId="0" fontId="0" fillId="0" borderId="3" xfId="0" applyBorder="1" applyAlignment="1">
      <alignment horizontal="left" vertical="top"/>
    </xf>
    <xf numFmtId="0" fontId="0" fillId="0" borderId="3" xfId="0" applyBorder="1" applyAlignment="1" applyProtection="1">
      <alignment vertical="top" wrapText="1"/>
      <protection locked="0"/>
    </xf>
    <xf numFmtId="0" fontId="1" fillId="4" borderId="5" xfId="0" applyFont="1" applyFill="1" applyBorder="1" applyAlignment="1">
      <alignment horizontal="left" vertical="top"/>
    </xf>
    <xf numFmtId="0" fontId="1" fillId="4" borderId="6" xfId="0" applyFont="1" applyFill="1" applyBorder="1" applyAlignment="1">
      <alignment vertical="top"/>
    </xf>
    <xf numFmtId="0" fontId="0" fillId="0" borderId="1" xfId="0" applyBorder="1" applyAlignment="1">
      <alignment horizontal="left" vertical="top"/>
    </xf>
    <xf numFmtId="49" fontId="0" fillId="0" borderId="1" xfId="0" applyNumberFormat="1" applyBorder="1" applyAlignment="1">
      <alignment horizontal="left" vertical="top"/>
    </xf>
    <xf numFmtId="49" fontId="1" fillId="2" borderId="0" xfId="0" applyNumberFormat="1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49" fontId="9" fillId="3" borderId="0" xfId="0" applyNumberFormat="1" applyFont="1" applyFill="1" applyAlignment="1">
      <alignment vertical="top"/>
    </xf>
    <xf numFmtId="165" fontId="5" fillId="8" borderId="0" xfId="0" applyNumberFormat="1" applyFont="1" applyFill="1" applyAlignment="1">
      <alignment horizontal="left" vertical="top"/>
    </xf>
    <xf numFmtId="0" fontId="10" fillId="0" borderId="0" xfId="0" applyFont="1"/>
    <xf numFmtId="49" fontId="2" fillId="3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8B459-B104-4B36-87B9-C10284F46DBD}">
  <dimension ref="A1:J150"/>
  <sheetViews>
    <sheetView topLeftCell="D1" zoomScaleNormal="100" workbookViewId="0">
      <pane ySplit="4" topLeftCell="A7" activePane="bottomLeft" state="frozen"/>
      <selection pane="bottomLeft" activeCell="B101" sqref="B101"/>
    </sheetView>
  </sheetViews>
  <sheetFormatPr defaultColWidth="10.75" defaultRowHeight="15.75"/>
  <cols>
    <col min="1" max="1" width="25" style="7" bestFit="1" customWidth="1"/>
    <col min="2" max="2" width="78.625" style="11" customWidth="1"/>
    <col min="3" max="3" width="45.25" style="26" customWidth="1"/>
    <col min="4" max="4" width="120.5" style="26" bestFit="1" customWidth="1"/>
    <col min="5" max="5" width="21.5" style="26" bestFit="1" customWidth="1"/>
    <col min="6" max="6" width="8.5" style="26" customWidth="1"/>
    <col min="7" max="7" width="24.75" style="57" bestFit="1" customWidth="1"/>
    <col min="8" max="8" width="30.625" style="10" customWidth="1"/>
    <col min="9" max="9" width="36.625" style="10" customWidth="1"/>
    <col min="10" max="10" width="10.75" style="3"/>
    <col min="11" max="16384" width="10.75" style="1"/>
  </cols>
  <sheetData>
    <row r="1" spans="1:10">
      <c r="A1" s="29" t="s">
        <v>0</v>
      </c>
      <c r="B1" s="5" t="s">
        <v>1</v>
      </c>
      <c r="C1" s="40" t="s">
        <v>2</v>
      </c>
      <c r="D1" s="40" t="s">
        <v>3</v>
      </c>
      <c r="F1" s="9"/>
      <c r="H1" s="4"/>
      <c r="I1" s="4"/>
    </row>
    <row r="2" spans="1:10" ht="19.350000000000001" customHeight="1">
      <c r="A2" s="30" t="s">
        <v>4</v>
      </c>
      <c r="B2" s="5" t="s">
        <v>5</v>
      </c>
      <c r="C2" s="40" t="s">
        <v>6</v>
      </c>
      <c r="D2" s="40" t="s">
        <v>7</v>
      </c>
      <c r="E2" s="62" t="s">
        <v>8</v>
      </c>
      <c r="F2" s="40"/>
      <c r="G2" s="58"/>
      <c r="H2" s="6"/>
      <c r="I2" s="32"/>
      <c r="J2" s="2"/>
    </row>
    <row r="3" spans="1:10" ht="16.149999999999999" thickBot="1">
      <c r="A3" s="31" t="s">
        <v>9</v>
      </c>
      <c r="B3" s="4"/>
      <c r="C3" s="36" t="s">
        <v>10</v>
      </c>
      <c r="D3" s="63">
        <v>45962</v>
      </c>
      <c r="E3" s="49"/>
      <c r="F3" s="49"/>
      <c r="H3" s="4"/>
      <c r="I3" s="4"/>
    </row>
    <row r="4" spans="1:10" s="12" customFormat="1" ht="17.25" customHeight="1" thickBot="1">
      <c r="A4" s="23" t="s">
        <v>11</v>
      </c>
      <c r="B4" s="24" t="s">
        <v>12</v>
      </c>
      <c r="C4" s="24" t="s">
        <v>13</v>
      </c>
      <c r="D4" s="24" t="s">
        <v>14</v>
      </c>
      <c r="E4" s="24" t="s">
        <v>15</v>
      </c>
      <c r="F4" s="24" t="s">
        <v>16</v>
      </c>
      <c r="G4" s="24" t="s">
        <v>17</v>
      </c>
      <c r="H4" s="25" t="s">
        <v>18</v>
      </c>
      <c r="I4" s="33" t="s">
        <v>19</v>
      </c>
      <c r="J4" s="19" t="s">
        <v>20</v>
      </c>
    </row>
    <row r="5" spans="1:10" s="17" customFormat="1" ht="159" customHeight="1">
      <c r="A5" s="20" t="s">
        <v>21</v>
      </c>
      <c r="B5" s="22" t="str">
        <f t="shared" ref="B5:B87" si="0">CONCATENATE($I$4," ",I5,CHAR(10),CHAR(13),CHAR(10),CHAR(13),$H$4," ",H5)</f>
        <v>JENKINS_RESULT https://jenkins.werfen.com/job/Werfen%20websites/job/Production%20environment/job/QA%20Transports/job/All%20werfen.com%20sites/?token=WerfenALLRelease
_x000D_
_x000D_JENKINS_TRANSPORT https://jenkins.werfen.com/job/Werfen%20websites/job/Production%20environment/job/QA%20Transports/job/All%20werfen.com%20sites/build?token=WerfenALLRelease&amp;token2=</v>
      </c>
      <c r="C5" s="27" t="s">
        <v>22</v>
      </c>
      <c r="D5" s="27" t="s">
        <v>23</v>
      </c>
      <c r="E5" s="27" t="s">
        <v>24</v>
      </c>
      <c r="F5" s="27" t="s">
        <v>25</v>
      </c>
      <c r="G5" s="59" t="s">
        <v>26</v>
      </c>
      <c r="H5" s="34" t="str">
        <f>CONCATENATE("https://jenkins.werfen.com/",D5,E5,"?token=",C5,"&amp;token2=")</f>
        <v>https://jenkins.werfen.com/job/Werfen%20websites/job/Production%20environment/job/QA%20Transports/job/All%20werfen.com%20sites/build?token=WerfenALLRelease&amp;token2=</v>
      </c>
      <c r="I5" s="34" t="str">
        <f t="shared" ref="I5:I45" si="1">_xlfn.CONCAT("https://jenkins.werfen.com/",D5,"?token=",C5)</f>
        <v>https://jenkins.werfen.com/job/Werfen%20websites/job/Production%20environment/job/QA%20Transports/job/All%20werfen.com%20sites/?token=WerfenALLRelease</v>
      </c>
      <c r="J5" s="16" t="s">
        <v>27</v>
      </c>
    </row>
    <row r="6" spans="1:10" s="17" customFormat="1" ht="159" customHeight="1">
      <c r="A6" s="20" t="s">
        <v>21</v>
      </c>
      <c r="B6" s="22" t="str">
        <f t="shared" ref="B6" si="2">CONCATENATE($I$4," ",I6,CHAR(10),CHAR(13),CHAR(10),CHAR(13),$H$4," ",H6)</f>
        <v>JENKINS_RESULT https://jenkins.werfen.com/job/Werfen%20websites/job/Production%20environment/job/QA%20Transports/job/All%20werfen%20sites%20release/?token=WerfenALLRelease1
_x000D_
_x000D_JENKINS_TRANSPORT https://jenkins.werfen.com/job/Werfen%20websites/job/Production%20environment/job/QA%20Transports/job/All%20werfen%20sites%20release/build?token=WerfenALLRelease1&amp;token2=</v>
      </c>
      <c r="C6" s="27" t="s">
        <v>28</v>
      </c>
      <c r="D6" s="27" t="s">
        <v>29</v>
      </c>
      <c r="E6" s="27" t="s">
        <v>24</v>
      </c>
      <c r="F6" s="27"/>
      <c r="G6" s="59" t="s">
        <v>30</v>
      </c>
      <c r="H6" s="34" t="str">
        <f>CONCATENATE("https://jenkins.werfen.com/",D6,E6,"?token=",C6,"&amp;token2=")</f>
        <v>https://jenkins.werfen.com/job/Werfen%20websites/job/Production%20environment/job/QA%20Transports/job/All%20werfen%20sites%20release/build?token=WerfenALLRelease1&amp;token2=</v>
      </c>
      <c r="I6" s="34" t="str">
        <f t="shared" ref="I6" si="3">_xlfn.CONCAT("https://jenkins.werfen.com/",D6,"?token=",C6)</f>
        <v>https://jenkins.werfen.com/job/Werfen%20websites/job/Production%20environment/job/QA%20Transports/job/All%20werfen%20sites%20release/?token=WerfenALLRelease1</v>
      </c>
      <c r="J6" s="16" t="s">
        <v>25</v>
      </c>
    </row>
    <row r="7" spans="1:10" s="17" customFormat="1" ht="159" customHeight="1">
      <c r="A7" s="20" t="s">
        <v>21</v>
      </c>
      <c r="B7" s="22" t="str">
        <f t="shared" ref="B7" si="4">CONCATENATE($I$4," ",I7,CHAR(10),CHAR(13),CHAR(10),CHAR(13),$H$4," ",H7)</f>
        <v>JENKINS_RESULT https://jenkins.werfen.com/job/Werfen%20websites/job/Production%20environment/job/QA%20Transports/job/All%20werfen%20hotfix/?token=WerfenALLHotfix
_x000D_
_x000D_JENKINS_TRANSPORT https://jenkins.werfen.com/job/Werfen%20websites/job/Production%20environment/job/QA%20Transports/job/All%20werfen%20hotfix/build?token=WerfenALLHotfix&amp;token2=</v>
      </c>
      <c r="C7" s="27" t="s">
        <v>31</v>
      </c>
      <c r="D7" s="27" t="s">
        <v>32</v>
      </c>
      <c r="E7" s="27" t="s">
        <v>24</v>
      </c>
      <c r="F7" s="27"/>
      <c r="G7" s="59" t="s">
        <v>33</v>
      </c>
      <c r="H7" s="34" t="str">
        <f>CONCATENATE("https://jenkins.werfen.com/",D7,E7,"?token=",C7,"&amp;token2=")</f>
        <v>https://jenkins.werfen.com/job/Werfen%20websites/job/Production%20environment/job/QA%20Transports/job/All%20werfen%20hotfix/build?token=WerfenALLHotfix&amp;token2=</v>
      </c>
      <c r="I7" s="34" t="str">
        <f t="shared" ref="I7" si="5">_xlfn.CONCAT("https://jenkins.werfen.com/",D7,"?token=",C7)</f>
        <v>https://jenkins.werfen.com/job/Werfen%20websites/job/Production%20environment/job/QA%20Transports/job/All%20werfen%20hotfix/?token=WerfenALLHotfix</v>
      </c>
      <c r="J7" s="16" t="s">
        <v>25</v>
      </c>
    </row>
    <row r="8" spans="1:10" s="17" customFormat="1" ht="145.5" customHeight="1">
      <c r="A8" s="20" t="s">
        <v>21</v>
      </c>
      <c r="B8" s="22" t="str">
        <f t="shared" si="0"/>
        <v>JENKINS_RESULT https://jenkins.werfen.com/job/Werfen%20websites/job/Production%20environment/job/QA%20Transports/job/Werfen%20CZ/?token=WerfenCZRelease
_x000D_
_x000D_JENKINS_TRANSPORT https://jenkins.werfen.com/job/Werfen%20websites/job/Production%20environment/job/QA%20Transports/job/Werfen%20CZ/buildWithParameters?token=WerfenCZRelease&amp;token2=</v>
      </c>
      <c r="C8" s="27" t="s">
        <v>34</v>
      </c>
      <c r="D8" s="27" t="s">
        <v>35</v>
      </c>
      <c r="E8" s="27" t="s">
        <v>36</v>
      </c>
      <c r="F8" s="27" t="s">
        <v>37</v>
      </c>
      <c r="G8" s="59" t="s">
        <v>38</v>
      </c>
      <c r="H8" s="34" t="str">
        <f>CONCATENATE("https://jenkins.werfen.com/",D8,E8,"?token=",C8,"&amp;token2=")</f>
        <v>https://jenkins.werfen.com/job/Werfen%20websites/job/Production%20environment/job/QA%20Transports/job/Werfen%20CZ/buildWithParameters?token=WerfenCZRelease&amp;token2=</v>
      </c>
      <c r="I8" s="34" t="str">
        <f t="shared" si="1"/>
        <v>https://jenkins.werfen.com/job/Werfen%20websites/job/Production%20environment/job/QA%20Transports/job/Werfen%20CZ/?token=WerfenCZRelease</v>
      </c>
      <c r="J8" s="16" t="s">
        <v>27</v>
      </c>
    </row>
    <row r="9" spans="1:10" s="17" customFormat="1" ht="145.5" customHeight="1">
      <c r="A9" s="20" t="s">
        <v>21</v>
      </c>
      <c r="B9" s="22" t="str">
        <f t="shared" ref="B9" si="6">CONCATENATE($I$4," ",I9,CHAR(10),CHAR(13),CHAR(10),CHAR(13),$H$4," ",H9)</f>
        <v>JENKINS_RESULT https://jenkins.werfen.com/job/Werfen%20websites/job/Production%20environment/job/QA%20Transports/job/Werfen%20CZ%20release/?token=WerfenCZRelease1
_x000D_
_x000D_JENKINS_TRANSPORT https://jenkins.werfen.com/job/Werfen%20websites/job/Production%20environment/job/QA%20Transports/job/Werfen%20CZ%20release/buildWithParameters?token=WerfenCZRelease1&amp;token2=</v>
      </c>
      <c r="C9" s="27" t="s">
        <v>39</v>
      </c>
      <c r="D9" s="27" t="s">
        <v>40</v>
      </c>
      <c r="E9" s="27" t="s">
        <v>36</v>
      </c>
      <c r="F9" s="27"/>
      <c r="G9" s="59" t="s">
        <v>41</v>
      </c>
      <c r="H9" s="34" t="str">
        <f t="shared" ref="H9:H72" si="7">CONCATENATE("https://jenkins.werfen.com/",D9,E9,"?token=",C9,"&amp;token2=")</f>
        <v>https://jenkins.werfen.com/job/Werfen%20websites/job/Production%20environment/job/QA%20Transports/job/Werfen%20CZ%20release/buildWithParameters?token=WerfenCZRelease1&amp;token2=</v>
      </c>
      <c r="I9" s="34" t="str">
        <f t="shared" ref="I9" si="8">_xlfn.CONCAT("https://jenkins.werfen.com/",D9,"?token=",C9)</f>
        <v>https://jenkins.werfen.com/job/Werfen%20websites/job/Production%20environment/job/QA%20Transports/job/Werfen%20CZ%20release/?token=WerfenCZRelease1</v>
      </c>
      <c r="J9" s="16" t="s">
        <v>25</v>
      </c>
    </row>
    <row r="10" spans="1:10" s="17" customFormat="1" ht="145.5" customHeight="1">
      <c r="A10" s="20" t="s">
        <v>21</v>
      </c>
      <c r="B10" s="22" t="str">
        <f t="shared" ref="B10" si="9">CONCATENATE($I$4," ",I10,CHAR(10),CHAR(13),CHAR(10),CHAR(13),$H$4," ",H10)</f>
        <v>JENKINS_RESULT https://jenkins.werfen.com/job/Werfen%20websites/job/Production%20environment/job/QA%20Transports/job/Werfen%20CZ%20hotfix/?token=WerfenCZHotfix
_x000D_
_x000D_JENKINS_TRANSPORT https://jenkins.werfen.com/job/Werfen%20websites/job/Production%20environment/job/QA%20Transports/job/Werfen%20CZ%20hotfix/buildWithParameters?token=WerfenCZHotfix&amp;token2=</v>
      </c>
      <c r="C10" s="27" t="s">
        <v>42</v>
      </c>
      <c r="D10" s="27" t="s">
        <v>43</v>
      </c>
      <c r="E10" s="27" t="s">
        <v>36</v>
      </c>
      <c r="F10" s="27"/>
      <c r="G10" s="59" t="s">
        <v>44</v>
      </c>
      <c r="H10" s="34" t="str">
        <f t="shared" si="7"/>
        <v>https://jenkins.werfen.com/job/Werfen%20websites/job/Production%20environment/job/QA%20Transports/job/Werfen%20CZ%20hotfix/buildWithParameters?token=WerfenCZHotfix&amp;token2=</v>
      </c>
      <c r="I10" s="34" t="str">
        <f t="shared" ref="I10" si="10">_xlfn.CONCAT("https://jenkins.werfen.com/",D10,"?token=",C10)</f>
        <v>https://jenkins.werfen.com/job/Werfen%20websites/job/Production%20environment/job/QA%20Transports/job/Werfen%20CZ%20hotfix/?token=WerfenCZHotfix</v>
      </c>
      <c r="J10" s="16" t="s">
        <v>25</v>
      </c>
    </row>
    <row r="11" spans="1:10" s="17" customFormat="1" ht="145.5" customHeight="1">
      <c r="A11" s="20" t="s">
        <v>21</v>
      </c>
      <c r="B11" s="22" t="str">
        <f t="shared" si="0"/>
        <v>JENKINS_RESULT https://jenkins.werfen.com/job/Werfen%20websites/job/Production%20environment/job/QA%20Transports/job/Werfen%20RU/?token=WerfenRURelease
_x000D_
_x000D_JENKINS_TRANSPORT https://jenkins.werfen.com/job/Werfen%20websites/job/Production%20environment/job/QA%20Transports/job/Werfen%20RU/buildWithParameters?token=WerfenRURelease&amp;token2=</v>
      </c>
      <c r="C11" s="27" t="s">
        <v>45</v>
      </c>
      <c r="D11" s="27" t="s">
        <v>46</v>
      </c>
      <c r="E11" s="27" t="s">
        <v>36</v>
      </c>
      <c r="F11" s="27" t="s">
        <v>47</v>
      </c>
      <c r="G11" s="59" t="s">
        <v>48</v>
      </c>
      <c r="H11" s="34" t="str">
        <f t="shared" si="7"/>
        <v>https://jenkins.werfen.com/job/Werfen%20websites/job/Production%20environment/job/QA%20Transports/job/Werfen%20RU/buildWithParameters?token=WerfenRURelease&amp;token2=</v>
      </c>
      <c r="I11" s="34" t="str">
        <f t="shared" si="1"/>
        <v>https://jenkins.werfen.com/job/Werfen%20websites/job/Production%20environment/job/QA%20Transports/job/Werfen%20RU/?token=WerfenRURelease</v>
      </c>
      <c r="J11" s="16" t="s">
        <v>27</v>
      </c>
    </row>
    <row r="12" spans="1:10" s="17" customFormat="1" ht="145.5" customHeight="1">
      <c r="A12" s="20" t="s">
        <v>21</v>
      </c>
      <c r="B12" s="22" t="str">
        <f t="shared" ref="B12" si="11">CONCATENATE($I$4," ",I12,CHAR(10),CHAR(13),CHAR(10),CHAR(13),$H$4," ",H12)</f>
        <v>JENKINS_RESULT https://jenkins.werfen.com/job/Werfen%20websites/job/Production%20environment/job/QA%20Transports/job/Werfen%20RU%20release/?token=WerfenRURelease1
_x000D_
_x000D_JENKINS_TRANSPORT https://jenkins.werfen.com/job/Werfen%20websites/job/Production%20environment/job/QA%20Transports/job/Werfen%20RU%20release/buildWithParameters?token=WerfenRURelease1&amp;token2=</v>
      </c>
      <c r="C12" s="27" t="s">
        <v>49</v>
      </c>
      <c r="D12" s="27" t="s">
        <v>50</v>
      </c>
      <c r="E12" s="27" t="s">
        <v>36</v>
      </c>
      <c r="F12" s="27"/>
      <c r="G12" s="59" t="s">
        <v>51</v>
      </c>
      <c r="H12" s="34" t="str">
        <f t="shared" si="7"/>
        <v>https://jenkins.werfen.com/job/Werfen%20websites/job/Production%20environment/job/QA%20Transports/job/Werfen%20RU%20release/buildWithParameters?token=WerfenRURelease1&amp;token2=</v>
      </c>
      <c r="I12" s="34" t="str">
        <f t="shared" ref="I12" si="12">_xlfn.CONCAT("https://jenkins.werfen.com/",D12,"?token=",C12)</f>
        <v>https://jenkins.werfen.com/job/Werfen%20websites/job/Production%20environment/job/QA%20Transports/job/Werfen%20RU%20release/?token=WerfenRURelease1</v>
      </c>
      <c r="J12" s="16" t="s">
        <v>25</v>
      </c>
    </row>
    <row r="13" spans="1:10" s="17" customFormat="1" ht="145.5" customHeight="1">
      <c r="A13" s="20" t="s">
        <v>21</v>
      </c>
      <c r="B13" s="22" t="str">
        <f t="shared" ref="B13" si="13">CONCATENATE($I$4," ",I13,CHAR(10),CHAR(13),CHAR(10),CHAR(13),$H$4," ",H13)</f>
        <v>JENKINS_RESULT https://jenkins.werfen.com/job/Werfen%20websites/job/Production%20environment/job/QA%20Transports/job/Werfen%20RU%20hotfix/?token=WerfenRUHotfix
_x000D_
_x000D_JENKINS_TRANSPORT https://jenkins.werfen.com/job/Werfen%20websites/job/Production%20environment/job/QA%20Transports/job/Werfen%20RU%20hotfix/?token=WerfenRUHotfix&amp;token2=</v>
      </c>
      <c r="C13" s="27" t="s">
        <v>52</v>
      </c>
      <c r="D13" s="27" t="s">
        <v>53</v>
      </c>
      <c r="E13" s="27"/>
      <c r="F13" s="27" t="s">
        <v>47</v>
      </c>
      <c r="G13" s="59" t="s">
        <v>54</v>
      </c>
      <c r="H13" s="34" t="str">
        <f t="shared" si="7"/>
        <v>https://jenkins.werfen.com/job/Werfen%20websites/job/Production%20environment/job/QA%20Transports/job/Werfen%20RU%20hotfix/?token=WerfenRUHotfix&amp;token2=</v>
      </c>
      <c r="I13" s="34" t="str">
        <f t="shared" ref="I13" si="14">_xlfn.CONCAT("https://jenkins.werfen.com/",D13,"?token=",C13)</f>
        <v>https://jenkins.werfen.com/job/Werfen%20websites/job/Production%20environment/job/QA%20Transports/job/Werfen%20RU%20hotfix/?token=WerfenRUHotfix</v>
      </c>
      <c r="J13" s="16" t="s">
        <v>25</v>
      </c>
    </row>
    <row r="14" spans="1:10" s="17" customFormat="1" ht="145.5" customHeight="1">
      <c r="A14" s="20" t="s">
        <v>21</v>
      </c>
      <c r="B14" s="22" t="str">
        <f t="shared" si="0"/>
        <v>JENKINS_RESULT https://jenkins.werfen.com/job/Werfen%20websites/job/Production%20environment/job/QA%20Transports/job/Werfen%20AU/?token=WerfenAURelease
_x000D_
_x000D_JENKINS_TRANSPORT https://jenkins.werfen.com/job/Werfen%20websites/job/Production%20environment/job/QA%20Transports/job/Werfen%20AU/buildWithParameters?token=WerfenAURelease&amp;token2=</v>
      </c>
      <c r="C14" s="27" t="s">
        <v>55</v>
      </c>
      <c r="D14" s="27" t="s">
        <v>56</v>
      </c>
      <c r="E14" s="27" t="s">
        <v>36</v>
      </c>
      <c r="F14" s="27" t="s">
        <v>57</v>
      </c>
      <c r="G14" s="59" t="s">
        <v>58</v>
      </c>
      <c r="H14" s="34" t="str">
        <f t="shared" si="7"/>
        <v>https://jenkins.werfen.com/job/Werfen%20websites/job/Production%20environment/job/QA%20Transports/job/Werfen%20AU/buildWithParameters?token=WerfenAURelease&amp;token2=</v>
      </c>
      <c r="I14" s="34" t="str">
        <f t="shared" si="1"/>
        <v>https://jenkins.werfen.com/job/Werfen%20websites/job/Production%20environment/job/QA%20Transports/job/Werfen%20AU/?token=WerfenAURelease</v>
      </c>
      <c r="J14" s="16" t="s">
        <v>27</v>
      </c>
    </row>
    <row r="15" spans="1:10" s="17" customFormat="1" ht="145.5" customHeight="1">
      <c r="A15" s="20" t="s">
        <v>21</v>
      </c>
      <c r="B15" s="22" t="str">
        <f t="shared" ref="B15" si="15">CONCATENATE($I$4," ",I15,CHAR(10),CHAR(13),CHAR(10),CHAR(13),$H$4," ",H15)</f>
        <v>JENKINS_RESULT https://jenkins.werfen.com/job/Werfen%20websites/job/Production%20environment/job/QA%20Transports/job/Werfen%20AU%20release/?token=WerfenAURelease1
_x000D_
_x000D_JENKINS_TRANSPORT https://jenkins.werfen.com/job/Werfen%20websites/job/Production%20environment/job/QA%20Transports/job/Werfen%20AU%20release/buildWithParameters?token=WerfenAURelease1&amp;token2=</v>
      </c>
      <c r="C15" s="27" t="s">
        <v>59</v>
      </c>
      <c r="D15" s="27" t="s">
        <v>60</v>
      </c>
      <c r="E15" s="27" t="s">
        <v>36</v>
      </c>
      <c r="F15" s="27" t="s">
        <v>57</v>
      </c>
      <c r="G15" s="59" t="s">
        <v>61</v>
      </c>
      <c r="H15" s="34" t="str">
        <f t="shared" si="7"/>
        <v>https://jenkins.werfen.com/job/Werfen%20websites/job/Production%20environment/job/QA%20Transports/job/Werfen%20AU%20release/buildWithParameters?token=WerfenAURelease1&amp;token2=</v>
      </c>
      <c r="I15" s="34" t="str">
        <f t="shared" ref="I15" si="16">_xlfn.CONCAT("https://jenkins.werfen.com/",D15,"?token=",C15)</f>
        <v>https://jenkins.werfen.com/job/Werfen%20websites/job/Production%20environment/job/QA%20Transports/job/Werfen%20AU%20release/?token=WerfenAURelease1</v>
      </c>
      <c r="J15" s="16" t="s">
        <v>25</v>
      </c>
    </row>
    <row r="16" spans="1:10" s="17" customFormat="1" ht="145.5" customHeight="1">
      <c r="A16" s="20" t="s">
        <v>21</v>
      </c>
      <c r="B16" s="22" t="str">
        <f t="shared" ref="B16" si="17">CONCATENATE($I$4," ",I16,CHAR(10),CHAR(13),CHAR(10),CHAR(13),$H$4," ",H16)</f>
        <v>JENKINS_RESULT https://jenkins.werfen.com/job/Werfen%20websites/job/Production%20environment/job/QA%20Transports/job/Werfen%20AU%20hotfix/?token=WerfenAUHotfix
_x000D_
_x000D_JENKINS_TRANSPORT https://jenkins.werfen.com/job/Werfen%20websites/job/Production%20environment/job/QA%20Transports/job/Werfen%20AU%20hotfix/buildWithParameters?token=WerfenAUHotfix&amp;token2=</v>
      </c>
      <c r="C16" s="27" t="s">
        <v>62</v>
      </c>
      <c r="D16" s="27" t="s">
        <v>63</v>
      </c>
      <c r="E16" s="27" t="s">
        <v>36</v>
      </c>
      <c r="F16" s="27" t="s">
        <v>57</v>
      </c>
      <c r="G16" s="59" t="s">
        <v>64</v>
      </c>
      <c r="H16" s="34" t="str">
        <f t="shared" si="7"/>
        <v>https://jenkins.werfen.com/job/Werfen%20websites/job/Production%20environment/job/QA%20Transports/job/Werfen%20AU%20hotfix/buildWithParameters?token=WerfenAUHotfix&amp;token2=</v>
      </c>
      <c r="I16" s="34" t="str">
        <f t="shared" ref="I16" si="18">_xlfn.CONCAT("https://jenkins.werfen.com/",D16,"?token=",C16)</f>
        <v>https://jenkins.werfen.com/job/Werfen%20websites/job/Production%20environment/job/QA%20Transports/job/Werfen%20AU%20hotfix/?token=WerfenAUHotfix</v>
      </c>
      <c r="J16" s="16" t="s">
        <v>25</v>
      </c>
    </row>
    <row r="17" spans="1:10" s="17" customFormat="1" ht="112.5" customHeight="1">
      <c r="A17" s="51" t="s">
        <v>65</v>
      </c>
      <c r="B17" s="22" t="str">
        <f t="shared" si="0"/>
        <v>JENKINS_RESULT https://jenkins.werfen.com/job/WeListen/job/Production%20environment/job/QA%20Transports/job/Deploy%20site/?token=welistenRelease
_x000D_
_x000D_JENKINS_TRANSPORT https://jenkins.werfen.com/job/WeListen/job/Production%20environment/job/QA%20Transports/job/Deploy%20site/buildWithParameters?token=welistenRelease&amp;token2=</v>
      </c>
      <c r="C17" s="27" t="s">
        <v>66</v>
      </c>
      <c r="D17" s="27" t="s">
        <v>67</v>
      </c>
      <c r="E17" s="27" t="s">
        <v>36</v>
      </c>
      <c r="F17" s="27" t="s">
        <v>68</v>
      </c>
      <c r="G17" s="59" t="s">
        <v>69</v>
      </c>
      <c r="H17" s="34" t="str">
        <f t="shared" si="7"/>
        <v>https://jenkins.werfen.com/job/WeListen/job/Production%20environment/job/QA%20Transports/job/Deploy%20site/buildWithParameters?token=welistenRelease&amp;token2=</v>
      </c>
      <c r="I17" s="34" t="str">
        <f t="shared" si="1"/>
        <v>https://jenkins.werfen.com/job/WeListen/job/Production%20environment/job/QA%20Transports/job/Deploy%20site/?token=welistenRelease</v>
      </c>
      <c r="J17" s="16" t="s">
        <v>27</v>
      </c>
    </row>
    <row r="18" spans="1:10" s="17" customFormat="1" ht="112.5" customHeight="1">
      <c r="A18" s="51" t="s">
        <v>65</v>
      </c>
      <c r="B18" s="22" t="str">
        <f t="shared" ref="B18" si="19">CONCATENATE($I$4," ",I18,CHAR(10),CHAR(13),CHAR(10),CHAR(13),$H$4," ",H18)</f>
        <v>JENKINS_RESULT https://jenkins.werfen.com/job/WeListen/job/Production%20environment/job/QA%20Transports/job/Deploy%20release/?token=welistenRelease1
_x000D_
_x000D_JENKINS_TRANSPORT https://jenkins.werfen.com/job/WeListen/job/Production%20environment/job/QA%20Transports/job/Deploy%20release/buildWithParameters?token=welistenRelease1&amp;token2=</v>
      </c>
      <c r="C18" s="27" t="s">
        <v>70</v>
      </c>
      <c r="D18" s="27" t="s">
        <v>71</v>
      </c>
      <c r="E18" s="27" t="s">
        <v>36</v>
      </c>
      <c r="F18" s="27"/>
      <c r="G18" s="59" t="s">
        <v>72</v>
      </c>
      <c r="H18" s="34" t="str">
        <f t="shared" si="7"/>
        <v>https://jenkins.werfen.com/job/WeListen/job/Production%20environment/job/QA%20Transports/job/Deploy%20release/buildWithParameters?token=welistenRelease1&amp;token2=</v>
      </c>
      <c r="I18" s="34" t="str">
        <f t="shared" ref="I18" si="20">_xlfn.CONCAT("https://jenkins.werfen.com/",D18,"?token=",C18)</f>
        <v>https://jenkins.werfen.com/job/WeListen/job/Production%20environment/job/QA%20Transports/job/Deploy%20release/?token=welistenRelease1</v>
      </c>
      <c r="J18" s="16" t="s">
        <v>25</v>
      </c>
    </row>
    <row r="19" spans="1:10" s="17" customFormat="1" ht="112.5" customHeight="1">
      <c r="A19" s="51" t="s">
        <v>65</v>
      </c>
      <c r="B19" s="22" t="str">
        <f t="shared" ref="B19" si="21">CONCATENATE($I$4," ",I19,CHAR(10),CHAR(13),CHAR(10),CHAR(13),$H$4," ",H19)</f>
        <v>JENKINS_RESULT https://jenkins.werfen.com/job/WeListen/job/Production%20environment/job/QA%20Transports/job/Deploy%20hotfix/?token=welistenHotfix
_x000D_
_x000D_JENKINS_TRANSPORT https://jenkins.werfen.com/job/WeListen/job/Production%20environment/job/QA%20Transports/job/Deploy%20hotfix/buildWithParameters?token=welistenHotfix&amp;token2=</v>
      </c>
      <c r="C19" s="27" t="s">
        <v>73</v>
      </c>
      <c r="D19" s="27" t="s">
        <v>74</v>
      </c>
      <c r="E19" s="27" t="s">
        <v>36</v>
      </c>
      <c r="F19" s="27"/>
      <c r="G19" s="59" t="s">
        <v>75</v>
      </c>
      <c r="H19" s="34" t="str">
        <f t="shared" si="7"/>
        <v>https://jenkins.werfen.com/job/WeListen/job/Production%20environment/job/QA%20Transports/job/Deploy%20hotfix/buildWithParameters?token=welistenHotfix&amp;token2=</v>
      </c>
      <c r="I19" s="34" t="str">
        <f t="shared" ref="I19" si="22">_xlfn.CONCAT("https://jenkins.werfen.com/",D19,"?token=",C19)</f>
        <v>https://jenkins.werfen.com/job/WeListen/job/Production%20environment/job/QA%20Transports/job/Deploy%20hotfix/?token=welistenHotfix</v>
      </c>
      <c r="J19" s="16" t="s">
        <v>25</v>
      </c>
    </row>
    <row r="20" spans="1:10" s="17" customFormat="1" ht="110.25">
      <c r="A20" s="20" t="s">
        <v>21</v>
      </c>
      <c r="B20" s="22" t="str">
        <f t="shared" si="0"/>
        <v>JENKINS_RESULT https://jenkins.werfen.com/job/Werfen%20websites/job/Production%20environment/job/QA%20Transports/job/Werfen%20FR/?token=WerfenFRRelease
_x000D_
_x000D_JENKINS_TRANSPORT https://jenkins.werfen.com/job/Werfen%20websites/job/Production%20environment/job/QA%20Transports/job/Werfen%20FR/buildWithParameters?token=WerfenFRRelease&amp;token2=</v>
      </c>
      <c r="C20" s="27" t="s">
        <v>76</v>
      </c>
      <c r="D20" s="27" t="s">
        <v>77</v>
      </c>
      <c r="E20" s="27" t="s">
        <v>36</v>
      </c>
      <c r="F20" s="27" t="s">
        <v>78</v>
      </c>
      <c r="G20" s="59" t="s">
        <v>79</v>
      </c>
      <c r="H20" s="34" t="str">
        <f t="shared" si="7"/>
        <v>https://jenkins.werfen.com/job/Werfen%20websites/job/Production%20environment/job/QA%20Transports/job/Werfen%20FR/buildWithParameters?token=WerfenFRRelease&amp;token2=</v>
      </c>
      <c r="I20" s="34" t="str">
        <f t="shared" si="1"/>
        <v>https://jenkins.werfen.com/job/Werfen%20websites/job/Production%20environment/job/QA%20Transports/job/Werfen%20FR/?token=WerfenFRRelease</v>
      </c>
      <c r="J20" s="16" t="s">
        <v>27</v>
      </c>
    </row>
    <row r="21" spans="1:10" s="17" customFormat="1" ht="126">
      <c r="A21" s="20" t="s">
        <v>21</v>
      </c>
      <c r="B21" s="22" t="str">
        <f t="shared" ref="B21" si="23">CONCATENATE($I$4," ",I21,CHAR(10),CHAR(13),CHAR(10),CHAR(13),$H$4," ",H21)</f>
        <v>JENKINS_RESULT https://jenkins.werfen.com/job/Werfen%20websites/job/Production%20environment/job/QA%20Transports/job/Werfen%20FR%20release/?token=WerfenFRRelease1
_x000D_
_x000D_JENKINS_TRANSPORT https://jenkins.werfen.com/job/Werfen%20websites/job/Production%20environment/job/QA%20Transports/job/Werfen%20FR%20release/buildWithParameters?token=WerfenFRRelease1&amp;token2=</v>
      </c>
      <c r="C21" s="27" t="s">
        <v>80</v>
      </c>
      <c r="D21" s="27" t="s">
        <v>81</v>
      </c>
      <c r="E21" s="27" t="s">
        <v>36</v>
      </c>
      <c r="F21" s="27"/>
      <c r="G21" s="59" t="s">
        <v>82</v>
      </c>
      <c r="H21" s="34" t="str">
        <f t="shared" si="7"/>
        <v>https://jenkins.werfen.com/job/Werfen%20websites/job/Production%20environment/job/QA%20Transports/job/Werfen%20FR%20release/buildWithParameters?token=WerfenFRRelease1&amp;token2=</v>
      </c>
      <c r="I21" s="34" t="str">
        <f t="shared" ref="I21" si="24">_xlfn.CONCAT("https://jenkins.werfen.com/",D21,"?token=",C21)</f>
        <v>https://jenkins.werfen.com/job/Werfen%20websites/job/Production%20environment/job/QA%20Transports/job/Werfen%20FR%20release/?token=WerfenFRRelease1</v>
      </c>
      <c r="J21" s="16" t="s">
        <v>25</v>
      </c>
    </row>
    <row r="22" spans="1:10" s="17" customFormat="1" ht="126">
      <c r="A22" s="20" t="s">
        <v>21</v>
      </c>
      <c r="B22" s="22" t="str">
        <f t="shared" ref="B22:B23" si="25">CONCATENATE($I$4," ",I22,CHAR(10),CHAR(13),CHAR(10),CHAR(13),$H$4," ",H22)</f>
        <v>JENKINS_RESULT https://jenkins.werfen.com/job/Werfen%20websites/job/Production%20environment/job/QA%20Transports/job/Werfen%20FR%20hotifx/?token=WerfenFRHotfix
_x000D_
_x000D_JENKINS_TRANSPORT https://jenkins.werfen.com/job/Werfen%20websites/job/Production%20environment/job/QA%20Transports/job/Werfen%20FR%20hotifx/buildWithParameters?token=WerfenFRHotfix&amp;token2=</v>
      </c>
      <c r="C22" s="27" t="s">
        <v>83</v>
      </c>
      <c r="D22" s="27" t="s">
        <v>84</v>
      </c>
      <c r="E22" s="27" t="s">
        <v>36</v>
      </c>
      <c r="F22" s="27"/>
      <c r="G22" s="59" t="s">
        <v>85</v>
      </c>
      <c r="H22" s="34" t="str">
        <f t="shared" si="7"/>
        <v>https://jenkins.werfen.com/job/Werfen%20websites/job/Production%20environment/job/QA%20Transports/job/Werfen%20FR%20hotifx/buildWithParameters?token=WerfenFRHotfix&amp;token2=</v>
      </c>
      <c r="I22" s="34" t="str">
        <f t="shared" ref="I22:I23" si="26">_xlfn.CONCAT("https://jenkins.werfen.com/",D22,"?token=",C22)</f>
        <v>https://jenkins.werfen.com/job/Werfen%20websites/job/Production%20environment/job/QA%20Transports/job/Werfen%20FR%20hotifx/?token=WerfenFRHotfix</v>
      </c>
      <c r="J22" s="16" t="s">
        <v>25</v>
      </c>
    </row>
    <row r="23" spans="1:10" s="17" customFormat="1" ht="110.25">
      <c r="A23" s="20" t="s">
        <v>21</v>
      </c>
      <c r="B23" s="22" t="str">
        <f t="shared" si="25"/>
        <v>JENKINS_RESULT https://jenkins.werfen.com/job/Werfen%20websites/job/Production%20environment/job/QA%20Transports/job/Werfen%20IT/?token=WerfenITRelease
_x000D_
_x000D_JENKINS_TRANSPORT https://jenkins.werfen.com/job/Werfen%20websites/job/Production%20environment/job/QA%20Transports/job/Werfen%20IT/buildWithParameters?token=WerfenITRelease&amp;token2=</v>
      </c>
      <c r="C23" s="27" t="s">
        <v>86</v>
      </c>
      <c r="D23" s="27" t="s">
        <v>87</v>
      </c>
      <c r="E23" s="27" t="s">
        <v>36</v>
      </c>
      <c r="F23" s="27" t="s">
        <v>88</v>
      </c>
      <c r="G23" s="59" t="s">
        <v>89</v>
      </c>
      <c r="H23" s="34" t="str">
        <f t="shared" si="7"/>
        <v>https://jenkins.werfen.com/job/Werfen%20websites/job/Production%20environment/job/QA%20Transports/job/Werfen%20IT/buildWithParameters?token=WerfenITRelease&amp;token2=</v>
      </c>
      <c r="I23" s="34" t="str">
        <f t="shared" si="26"/>
        <v>https://jenkins.werfen.com/job/Werfen%20websites/job/Production%20environment/job/QA%20Transports/job/Werfen%20IT/?token=WerfenITRelease</v>
      </c>
      <c r="J23" s="16" t="s">
        <v>27</v>
      </c>
    </row>
    <row r="24" spans="1:10" s="17" customFormat="1" ht="126">
      <c r="A24" s="20" t="s">
        <v>21</v>
      </c>
      <c r="B24" s="22" t="str">
        <f t="shared" si="0"/>
        <v>JENKINS_RESULT https://jenkins.werfen.com/job/Werfen%20websites/job/Production%20environment/job/QA%20Transports/job/Werfen%20IT%20release/?token=WerfenITRelease1
_x000D_
_x000D_JENKINS_TRANSPORT https://jenkins.werfen.com/job/Werfen%20websites/job/Production%20environment/job/QA%20Transports/job/Werfen%20IT%20release/buildWithParameters?token=WerfenITRelease1&amp;token2=</v>
      </c>
      <c r="C24" s="27" t="s">
        <v>90</v>
      </c>
      <c r="D24" s="27" t="s">
        <v>91</v>
      </c>
      <c r="E24" s="27" t="s">
        <v>36</v>
      </c>
      <c r="F24" s="27"/>
      <c r="G24" s="59" t="s">
        <v>92</v>
      </c>
      <c r="H24" s="34" t="str">
        <f t="shared" si="7"/>
        <v>https://jenkins.werfen.com/job/Werfen%20websites/job/Production%20environment/job/QA%20Transports/job/Werfen%20IT%20release/buildWithParameters?token=WerfenITRelease1&amp;token2=</v>
      </c>
      <c r="I24" s="34" t="str">
        <f t="shared" si="1"/>
        <v>https://jenkins.werfen.com/job/Werfen%20websites/job/Production%20environment/job/QA%20Transports/job/Werfen%20IT%20release/?token=WerfenITRelease1</v>
      </c>
      <c r="J24" s="16" t="s">
        <v>25</v>
      </c>
    </row>
    <row r="25" spans="1:10" s="17" customFormat="1" ht="126">
      <c r="A25" s="20" t="s">
        <v>21</v>
      </c>
      <c r="B25" s="22" t="str">
        <f t="shared" ref="B25" si="27">CONCATENATE($I$4," ",I25,CHAR(10),CHAR(13),CHAR(10),CHAR(13),$H$4," ",H25)</f>
        <v>JENKINS_RESULT https://jenkins.werfen.com/job/Werfen%20websites/job/Production%20environment/job/QA%20Transports/job/Werfen%20IT%20hotfix/?token=WerfenITHotfix
_x000D_
_x000D_JENKINS_TRANSPORT https://jenkins.werfen.com/job/Werfen%20websites/job/Production%20environment/job/QA%20Transports/job/Werfen%20IT%20hotfix/buildWithParameters?token=WerfenITHotfix&amp;token2=</v>
      </c>
      <c r="C25" s="27" t="s">
        <v>93</v>
      </c>
      <c r="D25" s="27" t="s">
        <v>94</v>
      </c>
      <c r="E25" s="27" t="s">
        <v>36</v>
      </c>
      <c r="F25" s="27"/>
      <c r="G25" s="59" t="s">
        <v>95</v>
      </c>
      <c r="H25" s="34" t="str">
        <f t="shared" si="7"/>
        <v>https://jenkins.werfen.com/job/Werfen%20websites/job/Production%20environment/job/QA%20Transports/job/Werfen%20IT%20hotfix/buildWithParameters?token=WerfenITHotfix&amp;token2=</v>
      </c>
      <c r="I25" s="34" t="str">
        <f t="shared" ref="I25" si="28">_xlfn.CONCAT("https://jenkins.werfen.com/",D25,"?token=",C25)</f>
        <v>https://jenkins.werfen.com/job/Werfen%20websites/job/Production%20environment/job/QA%20Transports/job/Werfen%20IT%20hotfix/?token=WerfenITHotfix</v>
      </c>
      <c r="J25" s="16" t="s">
        <v>25</v>
      </c>
    </row>
    <row r="26" spans="1:10" s="17" customFormat="1" ht="36" customHeight="1">
      <c r="A26" s="20" t="s">
        <v>21</v>
      </c>
      <c r="B26" s="22" t="str">
        <f t="shared" si="0"/>
        <v>JENKINS_RESULT https://jenkins.werfen.com/job/Werfen%20websites/job/Production%20environment/job/QA%20Transports/job/Werfen%20UK/?token=WerfenUKRelease
_x000D_
_x000D_JENKINS_TRANSPORT https://jenkins.werfen.com/job/Werfen%20websites/job/Production%20environment/job/QA%20Transports/job/Werfen%20UK/buildWithParameters?token=WerfenUKRelease&amp;token2=</v>
      </c>
      <c r="C26" s="27" t="s">
        <v>96</v>
      </c>
      <c r="D26" s="27" t="s">
        <v>97</v>
      </c>
      <c r="E26" s="27" t="s">
        <v>36</v>
      </c>
      <c r="F26" s="27" t="s">
        <v>98</v>
      </c>
      <c r="G26" s="59" t="s">
        <v>99</v>
      </c>
      <c r="H26" s="34" t="str">
        <f t="shared" si="7"/>
        <v>https://jenkins.werfen.com/job/Werfen%20websites/job/Production%20environment/job/QA%20Transports/job/Werfen%20UK/buildWithParameters?token=WerfenUKRelease&amp;token2=</v>
      </c>
      <c r="I26" s="34" t="str">
        <f t="shared" si="1"/>
        <v>https://jenkins.werfen.com/job/Werfen%20websites/job/Production%20environment/job/QA%20Transports/job/Werfen%20UK/?token=WerfenUKRelease</v>
      </c>
      <c r="J26" s="16" t="s">
        <v>27</v>
      </c>
    </row>
    <row r="27" spans="1:10" s="17" customFormat="1" ht="36" customHeight="1">
      <c r="A27" s="20" t="s">
        <v>21</v>
      </c>
      <c r="B27" s="22" t="str">
        <f t="shared" si="0"/>
        <v>JENKINS_RESULT https://jenkins.werfen.com/job/Werfen%20websites/job/Production%20environment/job/QA%20Transports/job/Werfen%20UK%20release/?token=WerfenUKRelease1
_x000D_
_x000D_JENKINS_TRANSPORT https://jenkins.werfen.com/job/Werfen%20websites/job/Production%20environment/job/QA%20Transports/job/Werfen%20UK%20release/buildWithParameters?token=WerfenUKRelease1&amp;token2=</v>
      </c>
      <c r="C27" s="27" t="s">
        <v>100</v>
      </c>
      <c r="D27" s="27" t="s">
        <v>101</v>
      </c>
      <c r="E27" s="27" t="s">
        <v>36</v>
      </c>
      <c r="F27" s="27"/>
      <c r="G27" s="59" t="s">
        <v>102</v>
      </c>
      <c r="H27" s="34" t="str">
        <f t="shared" si="7"/>
        <v>https://jenkins.werfen.com/job/Werfen%20websites/job/Production%20environment/job/QA%20Transports/job/Werfen%20UK%20release/buildWithParameters?token=WerfenUKRelease1&amp;token2=</v>
      </c>
      <c r="I27" s="34" t="str">
        <f t="shared" si="1"/>
        <v>https://jenkins.werfen.com/job/Werfen%20websites/job/Production%20environment/job/QA%20Transports/job/Werfen%20UK%20release/?token=WerfenUKRelease1</v>
      </c>
      <c r="J27" s="16" t="s">
        <v>25</v>
      </c>
    </row>
    <row r="28" spans="1:10" s="17" customFormat="1" ht="36" customHeight="1">
      <c r="A28" s="20" t="s">
        <v>21</v>
      </c>
      <c r="B28" s="22" t="str">
        <f t="shared" ref="B28" si="29">CONCATENATE($I$4," ",I28,CHAR(10),CHAR(13),CHAR(10),CHAR(13),$H$4," ",H28)</f>
        <v>JENKINS_RESULT https://jenkins.werfen.com/job/Werfen%20websites/job/Production%20environment/job/QA%20Transports/job/Werfen%20UK%20hotfix/?token=WerfenUKHotfix
_x000D_
_x000D_JENKINS_TRANSPORT https://jenkins.werfen.com/job/Werfen%20websites/job/Production%20environment/job/QA%20Transports/job/Werfen%20UK%20hotfix/buildWithParameters?token=WerfenUKHotfix&amp;token2=</v>
      </c>
      <c r="C28" s="27" t="s">
        <v>103</v>
      </c>
      <c r="D28" s="27" t="s">
        <v>104</v>
      </c>
      <c r="E28" s="27" t="s">
        <v>36</v>
      </c>
      <c r="F28" s="27"/>
      <c r="G28" s="59" t="s">
        <v>105</v>
      </c>
      <c r="H28" s="34" t="str">
        <f t="shared" si="7"/>
        <v>https://jenkins.werfen.com/job/Werfen%20websites/job/Production%20environment/job/QA%20Transports/job/Werfen%20UK%20hotfix/buildWithParameters?token=WerfenUKHotfix&amp;token2=</v>
      </c>
      <c r="I28" s="34" t="str">
        <f t="shared" ref="I28" si="30">_xlfn.CONCAT("https://jenkins.werfen.com/",D28,"?token=",C28)</f>
        <v>https://jenkins.werfen.com/job/Werfen%20websites/job/Production%20environment/job/QA%20Transports/job/Werfen%20UK%20hotfix/?token=WerfenUKHotfix</v>
      </c>
      <c r="J28" s="16" t="s">
        <v>25</v>
      </c>
    </row>
    <row r="29" spans="1:10" s="17" customFormat="1" ht="36" customHeight="1">
      <c r="A29" s="20" t="s">
        <v>21</v>
      </c>
      <c r="B29" s="22" t="str">
        <f t="shared" si="0"/>
        <v>JENKINS_RESULT https://jenkins.werfen.com/job/Werfen%20websites/job/Production%20environment/job/QA%20Transports/job/Werfen%20WW/?token=WerfenWWRelease
_x000D_
_x000D_JENKINS_TRANSPORT https://jenkins.werfen.com/job/Werfen%20websites/job/Production%20environment/job/QA%20Transports/job/Werfen%20WW/buildWithParameters?token=WerfenWWRelease&amp;token2=</v>
      </c>
      <c r="C29" s="27" t="s">
        <v>106</v>
      </c>
      <c r="D29" s="27" t="s">
        <v>107</v>
      </c>
      <c r="E29" s="27" t="s">
        <v>36</v>
      </c>
      <c r="F29" s="27" t="s">
        <v>108</v>
      </c>
      <c r="G29" s="59" t="s">
        <v>109</v>
      </c>
      <c r="H29" s="34" t="str">
        <f t="shared" si="7"/>
        <v>https://jenkins.werfen.com/job/Werfen%20websites/job/Production%20environment/job/QA%20Transports/job/Werfen%20WW/buildWithParameters?token=WerfenWWRelease&amp;token2=</v>
      </c>
      <c r="I29" s="34" t="str">
        <f t="shared" si="1"/>
        <v>https://jenkins.werfen.com/job/Werfen%20websites/job/Production%20environment/job/QA%20Transports/job/Werfen%20WW/?token=WerfenWWRelease</v>
      </c>
      <c r="J29" s="16" t="s">
        <v>27</v>
      </c>
    </row>
    <row r="30" spans="1:10" s="17" customFormat="1" ht="36" customHeight="1">
      <c r="A30" s="20" t="s">
        <v>21</v>
      </c>
      <c r="B30" s="22" t="str">
        <f t="shared" ref="B30" si="31">CONCATENATE($I$4," ",I30,CHAR(10),CHAR(13),CHAR(10),CHAR(13),$H$4," ",H30)</f>
        <v>JENKINS_RESULT https://jenkins.werfen.com/job/Werfen%20websites/job/Production%20environment/job/QA%20Transports/job/Werfen%20WW%20release/?token=WerfenWWRelease1
_x000D_
_x000D_JENKINS_TRANSPORT https://jenkins.werfen.com/job/Werfen%20websites/job/Production%20environment/job/QA%20Transports/job/Werfen%20WW%20release/buildWithParameters?token=WerfenWWRelease1&amp;token2=</v>
      </c>
      <c r="C30" s="27" t="s">
        <v>110</v>
      </c>
      <c r="D30" s="27" t="s">
        <v>111</v>
      </c>
      <c r="E30" s="27" t="s">
        <v>36</v>
      </c>
      <c r="F30" s="27"/>
      <c r="G30" s="59" t="s">
        <v>112</v>
      </c>
      <c r="H30" s="34" t="str">
        <f t="shared" si="7"/>
        <v>https://jenkins.werfen.com/job/Werfen%20websites/job/Production%20environment/job/QA%20Transports/job/Werfen%20WW%20release/buildWithParameters?token=WerfenWWRelease1&amp;token2=</v>
      </c>
      <c r="I30" s="34" t="str">
        <f t="shared" ref="I30" si="32">_xlfn.CONCAT("https://jenkins.werfen.com/",D30,"?token=",C30)</f>
        <v>https://jenkins.werfen.com/job/Werfen%20websites/job/Production%20environment/job/QA%20Transports/job/Werfen%20WW%20release/?token=WerfenWWRelease1</v>
      </c>
      <c r="J30" s="16" t="s">
        <v>25</v>
      </c>
    </row>
    <row r="31" spans="1:10" s="17" customFormat="1" ht="36" customHeight="1">
      <c r="A31" s="20" t="s">
        <v>21</v>
      </c>
      <c r="B31" s="22" t="str">
        <f t="shared" ref="B31" si="33">CONCATENATE($I$4," ",I31,CHAR(10),CHAR(13),CHAR(10),CHAR(13),$H$4," ",H31)</f>
        <v>JENKINS_RESULT https://jenkins.werfen.com/job/Werfen%20websites/job/Production%20environment/job/QA%20Transports/job/Werfen%20WW%20hotfix/?token=WerfenWWHotfix
_x000D_
_x000D_JENKINS_TRANSPORT https://jenkins.werfen.com/job/Werfen%20websites/job/Production%20environment/job/QA%20Transports/job/Werfen%20WW%20hotfix/buildWithParameters?token=WerfenWWHotfix&amp;token2=</v>
      </c>
      <c r="C31" s="27" t="s">
        <v>113</v>
      </c>
      <c r="D31" s="27" t="s">
        <v>114</v>
      </c>
      <c r="E31" s="27" t="s">
        <v>36</v>
      </c>
      <c r="F31" s="27"/>
      <c r="G31" s="59" t="s">
        <v>115</v>
      </c>
      <c r="H31" s="34" t="str">
        <f t="shared" si="7"/>
        <v>https://jenkins.werfen.com/job/Werfen%20websites/job/Production%20environment/job/QA%20Transports/job/Werfen%20WW%20hotfix/buildWithParameters?token=WerfenWWHotfix&amp;token2=</v>
      </c>
      <c r="I31" s="34" t="str">
        <f t="shared" ref="I31" si="34">_xlfn.CONCAT("https://jenkins.werfen.com/",D31,"?token=",C31)</f>
        <v>https://jenkins.werfen.com/job/Werfen%20websites/job/Production%20environment/job/QA%20Transports/job/Werfen%20WW%20hotfix/?token=WerfenWWHotfix</v>
      </c>
      <c r="J31" s="16" t="s">
        <v>25</v>
      </c>
    </row>
    <row r="32" spans="1:10" s="17" customFormat="1" ht="36" customHeight="1">
      <c r="A32" s="20" t="s">
        <v>21</v>
      </c>
      <c r="B32" s="22" t="str">
        <f t="shared" si="0"/>
        <v>JENKINS_RESULT https://jenkins.werfen.com/job/Werfen%20websites/job/Production%20environment/job/QA%20Transports/job/Werfen%20MX/?token=WerfenMXRelease
_x000D_
_x000D_JENKINS_TRANSPORT https://jenkins.werfen.com/job/Werfen%20websites/job/Production%20environment/job/QA%20Transports/job/Werfen%20MX/buildWithParameters?token=WerfenMXRelease&amp;token2=</v>
      </c>
      <c r="C32" s="27" t="s">
        <v>116</v>
      </c>
      <c r="D32" s="27" t="s">
        <v>117</v>
      </c>
      <c r="E32" s="27" t="s">
        <v>36</v>
      </c>
      <c r="F32" s="27" t="s">
        <v>118</v>
      </c>
      <c r="G32" s="59" t="s">
        <v>119</v>
      </c>
      <c r="H32" s="34" t="str">
        <f t="shared" si="7"/>
        <v>https://jenkins.werfen.com/job/Werfen%20websites/job/Production%20environment/job/QA%20Transports/job/Werfen%20MX/buildWithParameters?token=WerfenMXRelease&amp;token2=</v>
      </c>
      <c r="I32" s="34" t="str">
        <f t="shared" si="1"/>
        <v>https://jenkins.werfen.com/job/Werfen%20websites/job/Production%20environment/job/QA%20Transports/job/Werfen%20MX/?token=WerfenMXRelease</v>
      </c>
      <c r="J32" s="16" t="s">
        <v>27</v>
      </c>
    </row>
    <row r="33" spans="1:10" s="17" customFormat="1" ht="36" customHeight="1">
      <c r="A33" s="20" t="s">
        <v>21</v>
      </c>
      <c r="B33" s="22" t="str">
        <f t="shared" ref="B33" si="35">CONCATENATE($I$4," ",I33,CHAR(10),CHAR(13),CHAR(10),CHAR(13),$H$4," ",H33)</f>
        <v>JENKINS_RESULT https://jenkins.werfen.com/job/Werfen%20websites/job/Production%20environment/job/QA%20Transports/job/Werfen%20MX%20release/?token=WerfenMXRelease1
_x000D_
_x000D_JENKINS_TRANSPORT https://jenkins.werfen.com/job/Werfen%20websites/job/Production%20environment/job/QA%20Transports/job/Werfen%20MX%20release/buildWithParameters?token=WerfenMXRelease1&amp;token2=</v>
      </c>
      <c r="C33" s="27" t="s">
        <v>120</v>
      </c>
      <c r="D33" s="27" t="s">
        <v>121</v>
      </c>
      <c r="E33" s="27" t="s">
        <v>36</v>
      </c>
      <c r="F33" s="27"/>
      <c r="G33" s="59" t="s">
        <v>122</v>
      </c>
      <c r="H33" s="34" t="str">
        <f t="shared" si="7"/>
        <v>https://jenkins.werfen.com/job/Werfen%20websites/job/Production%20environment/job/QA%20Transports/job/Werfen%20MX%20release/buildWithParameters?token=WerfenMXRelease1&amp;token2=</v>
      </c>
      <c r="I33" s="34" t="str">
        <f t="shared" ref="I33" si="36">_xlfn.CONCAT("https://jenkins.werfen.com/",D33,"?token=",C33)</f>
        <v>https://jenkins.werfen.com/job/Werfen%20websites/job/Production%20environment/job/QA%20Transports/job/Werfen%20MX%20release/?token=WerfenMXRelease1</v>
      </c>
      <c r="J33" s="16" t="s">
        <v>25</v>
      </c>
    </row>
    <row r="34" spans="1:10" s="17" customFormat="1" ht="36" customHeight="1">
      <c r="A34" s="20" t="s">
        <v>21</v>
      </c>
      <c r="B34" s="22" t="str">
        <f t="shared" ref="B34" si="37">CONCATENATE($I$4," ",I34,CHAR(10),CHAR(13),CHAR(10),CHAR(13),$H$4," ",H34)</f>
        <v>JENKINS_RESULT https://jenkins.werfen.com/job/Werfen%20websites/job/Production%20environment/job/QA%20Transports/job/Werfen%20MX%20hotfix/?token=WerfenMXHotfix
_x000D_
_x000D_JENKINS_TRANSPORT https://jenkins.werfen.com/job/Werfen%20websites/job/Production%20environment/job/QA%20Transports/job/Werfen%20MX%20hotfix/buildWithParameters?token=WerfenMXHotfix&amp;token2=</v>
      </c>
      <c r="C34" s="27" t="s">
        <v>123</v>
      </c>
      <c r="D34" s="27" t="s">
        <v>124</v>
      </c>
      <c r="E34" s="27" t="s">
        <v>36</v>
      </c>
      <c r="F34" s="27"/>
      <c r="G34" s="59" t="s">
        <v>125</v>
      </c>
      <c r="H34" s="34" t="str">
        <f t="shared" si="7"/>
        <v>https://jenkins.werfen.com/job/Werfen%20websites/job/Production%20environment/job/QA%20Transports/job/Werfen%20MX%20hotfix/buildWithParameters?token=WerfenMXHotfix&amp;token2=</v>
      </c>
      <c r="I34" s="34" t="str">
        <f t="shared" ref="I34" si="38">_xlfn.CONCAT("https://jenkins.werfen.com/",D34,"?token=",C34)</f>
        <v>https://jenkins.werfen.com/job/Werfen%20websites/job/Production%20environment/job/QA%20Transports/job/Werfen%20MX%20hotfix/?token=WerfenMXHotfix</v>
      </c>
      <c r="J34" s="16" t="s">
        <v>25</v>
      </c>
    </row>
    <row r="35" spans="1:10" s="17" customFormat="1" ht="93" customHeight="1">
      <c r="A35" s="20" t="s">
        <v>21</v>
      </c>
      <c r="B35" s="22" t="str">
        <f t="shared" si="0"/>
        <v>JENKINS_RESULT https://jenkins.werfen.com/job/Werfen%20websites/job/Production%20environment/job/QA%20Transports/job/Werfen%20ES/?token=WerfenESRelease
_x000D_
_x000D_JENKINS_TRANSPORT https://jenkins.werfen.com/job/Werfen%20websites/job/Production%20environment/job/QA%20Transports/job/Werfen%20ES/buildWithParameters?token=WerfenESRelease&amp;token2=</v>
      </c>
      <c r="C35" s="27" t="s">
        <v>126</v>
      </c>
      <c r="D35" s="27" t="s">
        <v>127</v>
      </c>
      <c r="E35" s="27" t="s">
        <v>36</v>
      </c>
      <c r="F35" s="27" t="s">
        <v>128</v>
      </c>
      <c r="G35" s="59" t="s">
        <v>129</v>
      </c>
      <c r="H35" s="34" t="str">
        <f t="shared" si="7"/>
        <v>https://jenkins.werfen.com/job/Werfen%20websites/job/Production%20environment/job/QA%20Transports/job/Werfen%20ES/buildWithParameters?token=WerfenESRelease&amp;token2=</v>
      </c>
      <c r="I35" s="34" t="str">
        <f t="shared" si="1"/>
        <v>https://jenkins.werfen.com/job/Werfen%20websites/job/Production%20environment/job/QA%20Transports/job/Werfen%20ES/?token=WerfenESRelease</v>
      </c>
      <c r="J35" s="16" t="s">
        <v>27</v>
      </c>
    </row>
    <row r="36" spans="1:10" s="17" customFormat="1" ht="93" customHeight="1">
      <c r="A36" s="20" t="s">
        <v>21</v>
      </c>
      <c r="B36" s="22" t="str">
        <f t="shared" ref="B36" si="39">CONCATENATE($I$4," ",I36,CHAR(10),CHAR(13),CHAR(10),CHAR(13),$H$4," ",H36)</f>
        <v>JENKINS_RESULT https://jenkins.werfen.com/job/Werfen%20websites/job/Production%20environment/job/QA%20Transports/job/Werfen%20ES%20release/?token=WerfenESRelease1
_x000D_
_x000D_JENKINS_TRANSPORT https://jenkins.werfen.com/job/Werfen%20websites/job/Production%20environment/job/QA%20Transports/job/Werfen%20ES%20release/buildWithParameters?token=WerfenESRelease1&amp;token2=</v>
      </c>
      <c r="C36" s="27" t="s">
        <v>130</v>
      </c>
      <c r="D36" s="27" t="s">
        <v>131</v>
      </c>
      <c r="E36" s="27" t="s">
        <v>36</v>
      </c>
      <c r="F36" s="27"/>
      <c r="G36" s="59" t="s">
        <v>132</v>
      </c>
      <c r="H36" s="34" t="str">
        <f t="shared" si="7"/>
        <v>https://jenkins.werfen.com/job/Werfen%20websites/job/Production%20environment/job/QA%20Transports/job/Werfen%20ES%20release/buildWithParameters?token=WerfenESRelease1&amp;token2=</v>
      </c>
      <c r="I36" s="34" t="str">
        <f t="shared" ref="I36" si="40">_xlfn.CONCAT("https://jenkins.werfen.com/",D36,"?token=",C36)</f>
        <v>https://jenkins.werfen.com/job/Werfen%20websites/job/Production%20environment/job/QA%20Transports/job/Werfen%20ES%20release/?token=WerfenESRelease1</v>
      </c>
      <c r="J36" s="16" t="s">
        <v>25</v>
      </c>
    </row>
    <row r="37" spans="1:10" s="17" customFormat="1" ht="93" customHeight="1">
      <c r="A37" s="20" t="s">
        <v>21</v>
      </c>
      <c r="B37" s="22" t="str">
        <f t="shared" ref="B37" si="41">CONCATENATE($I$4," ",I37,CHAR(10),CHAR(13),CHAR(10),CHAR(13),$H$4," ",H37)</f>
        <v>JENKINS_RESULT https://jenkins.werfen.com/job/Werfen%20websites/job/Production%20environment/job/QA%20Transports/job/Werfen%20ES%20hotfix/?token=WerfenESHotfix
_x000D_
_x000D_JENKINS_TRANSPORT https://jenkins.werfen.com/job/Werfen%20websites/job/Production%20environment/job/QA%20Transports/job/Werfen%20ES%20hotfix/buildWithParameters?token=WerfenESHotfix&amp;token2=</v>
      </c>
      <c r="C37" s="27" t="s">
        <v>133</v>
      </c>
      <c r="D37" s="27" t="s">
        <v>134</v>
      </c>
      <c r="E37" s="27" t="s">
        <v>36</v>
      </c>
      <c r="F37" s="27"/>
      <c r="G37" s="59" t="s">
        <v>135</v>
      </c>
      <c r="H37" s="34" t="str">
        <f t="shared" si="7"/>
        <v>https://jenkins.werfen.com/job/Werfen%20websites/job/Production%20environment/job/QA%20Transports/job/Werfen%20ES%20hotfix/buildWithParameters?token=WerfenESHotfix&amp;token2=</v>
      </c>
      <c r="I37" s="34" t="str">
        <f t="shared" ref="I37" si="42">_xlfn.CONCAT("https://jenkins.werfen.com/",D37,"?token=",C37)</f>
        <v>https://jenkins.werfen.com/job/Werfen%20websites/job/Production%20environment/job/QA%20Transports/job/Werfen%20ES%20hotfix/?token=WerfenESHotfix</v>
      </c>
      <c r="J37" s="16" t="s">
        <v>25</v>
      </c>
    </row>
    <row r="38" spans="1:10" s="17" customFormat="1" ht="37.5" customHeight="1">
      <c r="A38" s="13" t="s">
        <v>21</v>
      </c>
      <c r="B38" s="22" t="str">
        <f t="shared" si="0"/>
        <v>JENKINS_RESULT https://jenkins.werfen.com/job/Werfen%20websites/job/Production%20environment/job/QA%20Transports/job/Werfen%20Benelux/?token=WerfenBeneluxRelease
_x000D_
_x000D_JENKINS_TRANSPORT https://jenkins.werfen.com/job/Werfen%20websites/job/Production%20environment/job/QA%20Transports/job/Werfen%20Benelux/buildWithParameters?token=WerfenBeneluxRelease&amp;token2=</v>
      </c>
      <c r="C38" s="28" t="s">
        <v>136</v>
      </c>
      <c r="D38" s="28" t="s">
        <v>137</v>
      </c>
      <c r="E38" s="27" t="s">
        <v>36</v>
      </c>
      <c r="F38" s="27" t="s">
        <v>138</v>
      </c>
      <c r="G38" s="60" t="s">
        <v>139</v>
      </c>
      <c r="H38" s="34" t="str">
        <f t="shared" si="7"/>
        <v>https://jenkins.werfen.com/job/Werfen%20websites/job/Production%20environment/job/QA%20Transports/job/Werfen%20Benelux/buildWithParameters?token=WerfenBeneluxRelease&amp;token2=</v>
      </c>
      <c r="I38" s="34" t="str">
        <f t="shared" si="1"/>
        <v>https://jenkins.werfen.com/job/Werfen%20websites/job/Production%20environment/job/QA%20Transports/job/Werfen%20Benelux/?token=WerfenBeneluxRelease</v>
      </c>
      <c r="J38" s="16" t="s">
        <v>27</v>
      </c>
    </row>
    <row r="39" spans="1:10" s="17" customFormat="1" ht="37.5" customHeight="1">
      <c r="A39" s="13" t="s">
        <v>21</v>
      </c>
      <c r="B39" s="22" t="str">
        <f t="shared" ref="B39" si="43">CONCATENATE($I$4," ",I39,CHAR(10),CHAR(13),CHAR(10),CHAR(13),$H$4," ",H39)</f>
        <v>JENKINS_RESULT https://jenkins.werfen.com/job/Werfen%20websites/job/Production%20environment/job/QA%20Transports/job/Werfen%20Benelux%20release/?token=WerfenBeneluxRelease1
_x000D_
_x000D_JENKINS_TRANSPORT https://jenkins.werfen.com/job/Werfen%20websites/job/Production%20environment/job/QA%20Transports/job/Werfen%20Benelux%20release/buildWithParameters?token=WerfenBeneluxRelease1&amp;token2=</v>
      </c>
      <c r="C39" s="28" t="s">
        <v>140</v>
      </c>
      <c r="D39" s="28" t="s">
        <v>141</v>
      </c>
      <c r="E39" s="27" t="s">
        <v>36</v>
      </c>
      <c r="F39" s="27"/>
      <c r="G39" s="60" t="s">
        <v>142</v>
      </c>
      <c r="H39" s="34" t="str">
        <f t="shared" si="7"/>
        <v>https://jenkins.werfen.com/job/Werfen%20websites/job/Production%20environment/job/QA%20Transports/job/Werfen%20Benelux%20release/buildWithParameters?token=WerfenBeneluxRelease1&amp;token2=</v>
      </c>
      <c r="I39" s="34" t="str">
        <f t="shared" ref="I39" si="44">_xlfn.CONCAT("https://jenkins.werfen.com/",D39,"?token=",C39)</f>
        <v>https://jenkins.werfen.com/job/Werfen%20websites/job/Production%20environment/job/QA%20Transports/job/Werfen%20Benelux%20release/?token=WerfenBeneluxRelease1</v>
      </c>
      <c r="J39" s="16" t="s">
        <v>25</v>
      </c>
    </row>
    <row r="40" spans="1:10" s="17" customFormat="1" ht="37.5" customHeight="1">
      <c r="A40" s="13" t="s">
        <v>21</v>
      </c>
      <c r="B40" s="22" t="str">
        <f t="shared" ref="B40" si="45">CONCATENATE($I$4," ",I40,CHAR(10),CHAR(13),CHAR(10),CHAR(13),$H$4," ",H40)</f>
        <v>JENKINS_RESULT https://jenkins.werfen.com/job/Werfen%20websites/job/Production%20environment/job/QA%20Transports/job/Werfen%20Benelux%20hotfix/?token=WerfenBeneluxHotfix
_x000D_
_x000D_JENKINS_TRANSPORT https://jenkins.werfen.com/job/Werfen%20websites/job/Production%20environment/job/QA%20Transports/job/Werfen%20Benelux%20hotfix/buildWithParameters?token=WerfenBeneluxHotfix&amp;token2=</v>
      </c>
      <c r="C40" s="28" t="s">
        <v>143</v>
      </c>
      <c r="D40" s="28" t="s">
        <v>144</v>
      </c>
      <c r="E40" s="27" t="s">
        <v>36</v>
      </c>
      <c r="F40" s="27"/>
      <c r="G40" s="60" t="s">
        <v>145</v>
      </c>
      <c r="H40" s="34" t="str">
        <f t="shared" si="7"/>
        <v>https://jenkins.werfen.com/job/Werfen%20websites/job/Production%20environment/job/QA%20Transports/job/Werfen%20Benelux%20hotfix/buildWithParameters?token=WerfenBeneluxHotfix&amp;token2=</v>
      </c>
      <c r="I40" s="34" t="str">
        <f t="shared" ref="I40" si="46">_xlfn.CONCAT("https://jenkins.werfen.com/",D40,"?token=",C40)</f>
        <v>https://jenkins.werfen.com/job/Werfen%20websites/job/Production%20environment/job/QA%20Transports/job/Werfen%20Benelux%20hotfix/?token=WerfenBeneluxHotfix</v>
      </c>
      <c r="J40" s="16" t="s">
        <v>25</v>
      </c>
    </row>
    <row r="41" spans="1:10" s="17" customFormat="1" ht="110.25">
      <c r="A41" s="55" t="s">
        <v>146</v>
      </c>
      <c r="B41" s="22" t="str">
        <f>CONCATENATE($I$4," ",I41,CHAR(10),CHAR(13),CHAR(10),CHAR(13),$H$4," ",H41)</f>
        <v>JENKINS_RESULT https://jenkins.werfen.com/job/WeNet/job/Production%20environment/job/QA%20Transports/job/SSM%20website/?token=wenetSSMweb
_x000D_
_x000D_JENKINS_TRANSPORT https://jenkins.werfen.com/job/WeNet/job/Production%20environment/job/QA%20Transports/job/SSM%20website/buildWithParameters?token=wenetSSMweb&amp;token2=</v>
      </c>
      <c r="C41" s="28" t="s">
        <v>147</v>
      </c>
      <c r="D41" s="28" t="s">
        <v>148</v>
      </c>
      <c r="E41" s="27" t="s">
        <v>36</v>
      </c>
      <c r="F41" s="27" t="s">
        <v>149</v>
      </c>
      <c r="G41" s="60" t="s">
        <v>150</v>
      </c>
      <c r="H41" s="34" t="str">
        <f t="shared" si="7"/>
        <v>https://jenkins.werfen.com/job/WeNet/job/Production%20environment/job/QA%20Transports/job/SSM%20website/buildWithParameters?token=wenetSSMweb&amp;token2=</v>
      </c>
      <c r="I41" s="34" t="str">
        <f t="shared" si="1"/>
        <v>https://jenkins.werfen.com/job/WeNet/job/Production%20environment/job/QA%20Transports/job/SSM%20website/?token=wenetSSMweb</v>
      </c>
      <c r="J41" s="16" t="s">
        <v>27</v>
      </c>
    </row>
    <row r="42" spans="1:10" s="17" customFormat="1" ht="105.75" customHeight="1">
      <c r="A42" s="55" t="s">
        <v>146</v>
      </c>
      <c r="B42" s="22" t="str">
        <f t="shared" si="0"/>
        <v>JENKINS_RESULT https://jenkins.werfen.com/job/WeNet/job/Production%20environment/job/QA%20Transports/job/Deploy%20site/?token=wenetRelease
_x000D_
_x000D_JENKINS_TRANSPORT https://jenkins.werfen.com/job/WeNet/job/Production%20environment/job/QA%20Transports/job/Deploy%20site/buildWithParameters?token=wenetRelease&amp;token2=</v>
      </c>
      <c r="C42" s="28" t="s">
        <v>151</v>
      </c>
      <c r="D42" s="28" t="s">
        <v>152</v>
      </c>
      <c r="E42" s="27" t="s">
        <v>36</v>
      </c>
      <c r="F42" s="27" t="s">
        <v>153</v>
      </c>
      <c r="G42" s="60" t="s">
        <v>154</v>
      </c>
      <c r="H42" s="34" t="str">
        <f t="shared" si="7"/>
        <v>https://jenkins.werfen.com/job/WeNet/job/Production%20environment/job/QA%20Transports/job/Deploy%20site/buildWithParameters?token=wenetRelease&amp;token2=</v>
      </c>
      <c r="I42" s="34" t="str">
        <f t="shared" si="1"/>
        <v>https://jenkins.werfen.com/job/WeNet/job/Production%20environment/job/QA%20Transports/job/Deploy%20site/?token=wenetRelease</v>
      </c>
      <c r="J42" s="16" t="s">
        <v>27</v>
      </c>
    </row>
    <row r="43" spans="1:10" s="17" customFormat="1" ht="105.75" customHeight="1">
      <c r="A43" s="55" t="s">
        <v>146</v>
      </c>
      <c r="B43" s="22" t="str">
        <f t="shared" ref="B43" si="47">CONCATENATE($I$4," ",I43,CHAR(10),CHAR(13),CHAR(10),CHAR(13),$H$4," ",H43)</f>
        <v>JENKINS_RESULT https://jenkins.werfen.com/job/WeNet/job/Production%20environment/job/QA%20Transports/job/Deploy%20release/?token=wenetRelease1
_x000D_
_x000D_JENKINS_TRANSPORT https://jenkins.werfen.com/job/WeNet/job/Production%20environment/job/QA%20Transports/job/Deploy%20release/buildWithParameters?token=wenetRelease1&amp;token2=</v>
      </c>
      <c r="C43" s="28" t="s">
        <v>155</v>
      </c>
      <c r="D43" s="28" t="s">
        <v>156</v>
      </c>
      <c r="E43" s="27" t="s">
        <v>36</v>
      </c>
      <c r="F43" s="27"/>
      <c r="G43" s="60" t="s">
        <v>157</v>
      </c>
      <c r="H43" s="34" t="str">
        <f t="shared" si="7"/>
        <v>https://jenkins.werfen.com/job/WeNet/job/Production%20environment/job/QA%20Transports/job/Deploy%20release/buildWithParameters?token=wenetRelease1&amp;token2=</v>
      </c>
      <c r="I43" s="34" t="str">
        <f t="shared" ref="I43" si="48">_xlfn.CONCAT("https://jenkins.werfen.com/",D43,"?token=",C43)</f>
        <v>https://jenkins.werfen.com/job/WeNet/job/Production%20environment/job/QA%20Transports/job/Deploy%20release/?token=wenetRelease1</v>
      </c>
      <c r="J43" s="16" t="s">
        <v>25</v>
      </c>
    </row>
    <row r="44" spans="1:10" s="17" customFormat="1" ht="105.75" customHeight="1">
      <c r="A44" s="55" t="s">
        <v>146</v>
      </c>
      <c r="B44" s="22" t="str">
        <f t="shared" ref="B44" si="49">CONCATENATE($I$4," ",I44,CHAR(10),CHAR(13),CHAR(10),CHAR(13),$H$4," ",H44)</f>
        <v>JENKINS_RESULT https://jenkins.werfen.com/job/WeNet/job/Production%20environment/job/QA%20Transports/job/Deploy%20hotfix/?token=wenetHotfix
_x000D_
_x000D_JENKINS_TRANSPORT https://jenkins.werfen.com/job/WeNet/job/Production%20environment/job/QA%20Transports/job/Deploy%20hotfix/buildWithParameters?token=wenetHotfix&amp;token2=</v>
      </c>
      <c r="C44" s="28" t="s">
        <v>158</v>
      </c>
      <c r="D44" s="28" t="s">
        <v>159</v>
      </c>
      <c r="E44" s="27" t="s">
        <v>36</v>
      </c>
      <c r="F44" s="27"/>
      <c r="G44" s="60" t="s">
        <v>160</v>
      </c>
      <c r="H44" s="34" t="str">
        <f t="shared" si="7"/>
        <v>https://jenkins.werfen.com/job/WeNet/job/Production%20environment/job/QA%20Transports/job/Deploy%20hotfix/buildWithParameters?token=wenetHotfix&amp;token2=</v>
      </c>
      <c r="I44" s="34" t="str">
        <f t="shared" ref="I44" si="50">_xlfn.CONCAT("https://jenkins.werfen.com/",D44,"?token=",C44)</f>
        <v>https://jenkins.werfen.com/job/WeNet/job/Production%20environment/job/QA%20Transports/job/Deploy%20hotfix/?token=wenetHotfix</v>
      </c>
      <c r="J44" s="16" t="s">
        <v>25</v>
      </c>
    </row>
    <row r="45" spans="1:10" s="17" customFormat="1" ht="126">
      <c r="A45" s="13" t="s">
        <v>21</v>
      </c>
      <c r="B45" s="22" t="str">
        <f t="shared" si="0"/>
        <v>JENKINS_RESULT https://jenkins.werfen.com/job/Werfen%20websites/job/Production%20environment/job/QA%20Transports/job/QLikSense%20Release/?token=QlikSenseRelease
_x000D_
_x000D_JENKINS_TRANSPORT https://jenkins.werfen.com/job/Werfen%20websites/job/Production%20environment/job/QA%20Transports/job/QLikSense%20Release/buildWithParameters?token=QlikSenseRelease&amp;token2=</v>
      </c>
      <c r="C45" s="28" t="s">
        <v>161</v>
      </c>
      <c r="D45" s="28" t="s">
        <v>162</v>
      </c>
      <c r="E45" s="27" t="s">
        <v>36</v>
      </c>
      <c r="F45" s="27" t="s">
        <v>163</v>
      </c>
      <c r="G45" s="60" t="s">
        <v>164</v>
      </c>
      <c r="H45" s="34" t="str">
        <f t="shared" si="7"/>
        <v>https://jenkins.werfen.com/job/Werfen%20websites/job/Production%20environment/job/QA%20Transports/job/QLikSense%20Release/buildWithParameters?token=QlikSenseRelease&amp;token2=</v>
      </c>
      <c r="I45" s="34" t="str">
        <f t="shared" si="1"/>
        <v>https://jenkins.werfen.com/job/Werfen%20websites/job/Production%20environment/job/QA%20Transports/job/QLikSense%20Release/?token=QlikSenseRelease</v>
      </c>
      <c r="J45" s="16" t="s">
        <v>27</v>
      </c>
    </row>
    <row r="46" spans="1:10" s="17" customFormat="1" ht="126">
      <c r="A46" s="13" t="s">
        <v>21</v>
      </c>
      <c r="B46" s="22" t="str">
        <f t="shared" ref="B46" si="51">CONCATENATE($I$4," ",I46,CHAR(10),CHAR(13),CHAR(10),CHAR(13),$H$4," ",H46)</f>
        <v>JENKINS_RESULT https://jenkins.werfen.com/job/Werfen%20websites/job/Production%20environment/job/QA%20Transports/job/QLikSense%20release1/?token=QlikSenseRelease1
_x000D_
_x000D_JENKINS_TRANSPORT https://jenkins.werfen.com/job/Werfen%20websites/job/Production%20environment/job/QA%20Transports/job/QLikSense%20release1/buildWithParameters?token=QlikSenseRelease1&amp;token2=</v>
      </c>
      <c r="C46" s="28" t="s">
        <v>165</v>
      </c>
      <c r="D46" s="28" t="s">
        <v>166</v>
      </c>
      <c r="E46" s="27" t="s">
        <v>36</v>
      </c>
      <c r="F46" s="27"/>
      <c r="G46" s="60" t="s">
        <v>167</v>
      </c>
      <c r="H46" s="34" t="str">
        <f t="shared" si="7"/>
        <v>https://jenkins.werfen.com/job/Werfen%20websites/job/Production%20environment/job/QA%20Transports/job/QLikSense%20release1/buildWithParameters?token=QlikSenseRelease1&amp;token2=</v>
      </c>
      <c r="I46" s="34" t="str">
        <f t="shared" ref="I46" si="52">_xlfn.CONCAT("https://jenkins.werfen.com/",D46,"?token=",C46)</f>
        <v>https://jenkins.werfen.com/job/Werfen%20websites/job/Production%20environment/job/QA%20Transports/job/QLikSense%20release1/?token=QlikSenseRelease1</v>
      </c>
      <c r="J46" s="16" t="s">
        <v>25</v>
      </c>
    </row>
    <row r="47" spans="1:10" s="17" customFormat="1" ht="126">
      <c r="A47" s="13" t="s">
        <v>21</v>
      </c>
      <c r="B47" s="22" t="str">
        <f t="shared" ref="B47" si="53">CONCATENATE($I$4," ",I47,CHAR(10),CHAR(13),CHAR(10),CHAR(13),$H$4," ",H47)</f>
        <v>JENKINS_RESULT https://jenkins.werfen.com/job/Werfen%20websites/job/Production%20environment/job/QA%20Transports/job/QLikSense%20hotfix/?token=QlikSenseHotfix
_x000D_
_x000D_JENKINS_TRANSPORT https://jenkins.werfen.com/job/Werfen%20websites/job/Production%20environment/job/QA%20Transports/job/QLikSense%20hotfix/buildWithParameters?token=QlikSenseHotfix&amp;token2=</v>
      </c>
      <c r="C47" s="28" t="s">
        <v>168</v>
      </c>
      <c r="D47" s="28" t="s">
        <v>169</v>
      </c>
      <c r="E47" s="27" t="s">
        <v>36</v>
      </c>
      <c r="F47" s="27"/>
      <c r="G47" s="60" t="s">
        <v>170</v>
      </c>
      <c r="H47" s="34" t="str">
        <f t="shared" si="7"/>
        <v>https://jenkins.werfen.com/job/Werfen%20websites/job/Production%20environment/job/QA%20Transports/job/QLikSense%20hotfix/buildWithParameters?token=QlikSenseHotfix&amp;token2=</v>
      </c>
      <c r="I47" s="34" t="str">
        <f t="shared" ref="I47" si="54">_xlfn.CONCAT("https://jenkins.werfen.com/",D47,"?token=",C47)</f>
        <v>https://jenkins.werfen.com/job/Werfen%20websites/job/Production%20environment/job/QA%20Transports/job/QLikSense%20hotfix/?token=QlikSenseHotfix</v>
      </c>
      <c r="J47" s="16" t="s">
        <v>25</v>
      </c>
    </row>
    <row r="48" spans="1:10" s="17" customFormat="1" ht="33" customHeight="1">
      <c r="A48" s="13" t="s">
        <v>21</v>
      </c>
      <c r="B48" s="22" t="str">
        <f t="shared" si="0"/>
        <v>JENKINS_RESULT https://jenkins.werfen.com/job/Werfen%20websites/job/Production%20environment/job/QA%20Transports/job/Werfen%20DE/?token=WerfenDERelease
_x000D_
_x000D_JENKINS_TRANSPORT https://jenkins.werfen.com/job/Werfen%20websites/job/Production%20environment/job/QA%20Transports/job/Werfen%20DE/buildWithParameters?token=WerfenDERelease&amp;token2=</v>
      </c>
      <c r="C48" s="28" t="s">
        <v>171</v>
      </c>
      <c r="D48" s="28" t="s">
        <v>172</v>
      </c>
      <c r="E48" s="27" t="s">
        <v>36</v>
      </c>
      <c r="F48" s="27" t="s">
        <v>173</v>
      </c>
      <c r="G48" s="60" t="s">
        <v>174</v>
      </c>
      <c r="H48" s="34" t="str">
        <f t="shared" si="7"/>
        <v>https://jenkins.werfen.com/job/Werfen%20websites/job/Production%20environment/job/QA%20Transports/job/Werfen%20DE/buildWithParameters?token=WerfenDERelease&amp;token2=</v>
      </c>
      <c r="I48" s="34" t="str">
        <f t="shared" ref="I48" si="55">_xlfn.CONCAT("https://jenkins.werfen.com/",D48,"?token=",C48)</f>
        <v>https://jenkins.werfen.com/job/Werfen%20websites/job/Production%20environment/job/QA%20Transports/job/Werfen%20DE/?token=WerfenDERelease</v>
      </c>
      <c r="J48" s="16" t="s">
        <v>27</v>
      </c>
    </row>
    <row r="49" spans="1:10" s="17" customFormat="1" ht="33" customHeight="1">
      <c r="A49" s="13" t="s">
        <v>21</v>
      </c>
      <c r="B49" s="22" t="str">
        <f t="shared" ref="B49" si="56">CONCATENATE($I$4," ",I49,CHAR(10),CHAR(13),CHAR(10),CHAR(13),$H$4," ",H49)</f>
        <v>JENKINS_RESULT https://jenkins.werfen.com/job/Werfen%20websites/job/Production%20environment/job/QA%20Transports/job/Werfen%20DE%20release/?token=WerfenDERelease1
_x000D_
_x000D_JENKINS_TRANSPORT https://jenkins.werfen.com/job/Werfen%20websites/job/Production%20environment/job/QA%20Transports/job/Werfen%20DE%20release/buildWithParameters?token=WerfenDERelease1&amp;token2=</v>
      </c>
      <c r="C49" s="28" t="s">
        <v>175</v>
      </c>
      <c r="D49" s="28" t="s">
        <v>176</v>
      </c>
      <c r="E49" s="27" t="s">
        <v>36</v>
      </c>
      <c r="F49" s="27"/>
      <c r="G49" s="60" t="s">
        <v>177</v>
      </c>
      <c r="H49" s="34" t="str">
        <f t="shared" si="7"/>
        <v>https://jenkins.werfen.com/job/Werfen%20websites/job/Production%20environment/job/QA%20Transports/job/Werfen%20DE%20release/buildWithParameters?token=WerfenDERelease1&amp;token2=</v>
      </c>
      <c r="I49" s="34" t="str">
        <f t="shared" ref="I49" si="57">_xlfn.CONCAT("https://jenkins.werfen.com/",D49,"?token=",C49)</f>
        <v>https://jenkins.werfen.com/job/Werfen%20websites/job/Production%20environment/job/QA%20Transports/job/Werfen%20DE%20release/?token=WerfenDERelease1</v>
      </c>
      <c r="J49" s="16" t="s">
        <v>25</v>
      </c>
    </row>
    <row r="50" spans="1:10" s="17" customFormat="1" ht="33" customHeight="1">
      <c r="A50" s="13" t="s">
        <v>21</v>
      </c>
      <c r="B50" s="22" t="str">
        <f t="shared" ref="B50" si="58">CONCATENATE($I$4," ",I50,CHAR(10),CHAR(13),CHAR(10),CHAR(13),$H$4," ",H50)</f>
        <v>JENKINS_RESULT https://jenkins.werfen.com/job/Werfen%20websites/job/Production%20environment/job/QA%20Transports/job/Werfen%20DE%20hotfix/?token=WerfenDEHotfix
_x000D_
_x000D_JENKINS_TRANSPORT https://jenkins.werfen.com/job/Werfen%20websites/job/Production%20environment/job/QA%20Transports/job/Werfen%20DE%20hotfix/buildWithParameters?token=WerfenDEHotfix&amp;token2=</v>
      </c>
      <c r="C50" s="28" t="s">
        <v>178</v>
      </c>
      <c r="D50" s="28" t="s">
        <v>179</v>
      </c>
      <c r="E50" s="27" t="s">
        <v>36</v>
      </c>
      <c r="F50" s="27"/>
      <c r="G50" s="60" t="s">
        <v>180</v>
      </c>
      <c r="H50" s="34" t="str">
        <f t="shared" si="7"/>
        <v>https://jenkins.werfen.com/job/Werfen%20websites/job/Production%20environment/job/QA%20Transports/job/Werfen%20DE%20hotfix/buildWithParameters?token=WerfenDEHotfix&amp;token2=</v>
      </c>
      <c r="I50" s="34" t="str">
        <f t="shared" ref="I50" si="59">_xlfn.CONCAT("https://jenkins.werfen.com/",D50,"?token=",C50)</f>
        <v>https://jenkins.werfen.com/job/Werfen%20websites/job/Production%20environment/job/QA%20Transports/job/Werfen%20DE%20hotfix/?token=WerfenDEHotfix</v>
      </c>
      <c r="J50" s="16" t="s">
        <v>25</v>
      </c>
    </row>
    <row r="51" spans="1:10" s="17" customFormat="1" ht="33" customHeight="1">
      <c r="A51" s="13" t="s">
        <v>21</v>
      </c>
      <c r="B51" s="22" t="str">
        <f t="shared" si="0"/>
        <v>JENKINS_RESULT https://jenkins.werfen.com/job/Werfen%20websites/job/Production%20environment/job/QA%20Transports/job/Werfen%20BR/?token=WerfenBRRelease
_x000D_
_x000D_JENKINS_TRANSPORT https://jenkins.werfen.com/job/Werfen%20websites/job/Production%20environment/job/QA%20Transports/job/Werfen%20BR/buildWithParameters?token=WerfenBRRelease&amp;token2=</v>
      </c>
      <c r="C51" s="28" t="s">
        <v>181</v>
      </c>
      <c r="D51" s="28" t="s">
        <v>182</v>
      </c>
      <c r="E51" s="27" t="s">
        <v>36</v>
      </c>
      <c r="F51" s="27" t="s">
        <v>183</v>
      </c>
      <c r="G51" s="60" t="s">
        <v>184</v>
      </c>
      <c r="H51" s="34" t="str">
        <f t="shared" si="7"/>
        <v>https://jenkins.werfen.com/job/Werfen%20websites/job/Production%20environment/job/QA%20Transports/job/Werfen%20BR/buildWithParameters?token=WerfenBRRelease&amp;token2=</v>
      </c>
      <c r="I51" s="34" t="str">
        <f t="shared" ref="I51:I87" si="60">_xlfn.CONCAT("https://jenkins.werfen.com/",D51,"?token=",C51)</f>
        <v>https://jenkins.werfen.com/job/Werfen%20websites/job/Production%20environment/job/QA%20Transports/job/Werfen%20BR/?token=WerfenBRRelease</v>
      </c>
      <c r="J51" s="16" t="s">
        <v>27</v>
      </c>
    </row>
    <row r="52" spans="1:10" s="17" customFormat="1" ht="33" customHeight="1">
      <c r="A52" s="13" t="s">
        <v>21</v>
      </c>
      <c r="B52" s="22" t="str">
        <f t="shared" ref="B52" si="61">CONCATENATE($I$4," ",I52,CHAR(10),CHAR(13),CHAR(10),CHAR(13),$H$4," ",H52)</f>
        <v>JENKINS_RESULT https://jenkins.werfen.com/job/Werfen%20websites/job/Production%20environment/job/QA%20Transports/job/Werfen%20BR%20release/?token=WerfenBRRelease1
_x000D_
_x000D_JENKINS_TRANSPORT https://jenkins.werfen.com/job/Werfen%20websites/job/Production%20environment/job/QA%20Transports/job/Werfen%20BR%20release/buildWithParameters?token=WerfenBRRelease1&amp;token2=</v>
      </c>
      <c r="C52" s="28" t="s">
        <v>185</v>
      </c>
      <c r="D52" s="28" t="s">
        <v>186</v>
      </c>
      <c r="E52" s="27" t="s">
        <v>36</v>
      </c>
      <c r="F52" s="27"/>
      <c r="G52" s="60" t="s">
        <v>187</v>
      </c>
      <c r="H52" s="34" t="str">
        <f t="shared" si="7"/>
        <v>https://jenkins.werfen.com/job/Werfen%20websites/job/Production%20environment/job/QA%20Transports/job/Werfen%20BR%20release/buildWithParameters?token=WerfenBRRelease1&amp;token2=</v>
      </c>
      <c r="I52" s="34" t="str">
        <f t="shared" ref="I52" si="62">_xlfn.CONCAT("https://jenkins.werfen.com/",D52,"?token=",C52)</f>
        <v>https://jenkins.werfen.com/job/Werfen%20websites/job/Production%20environment/job/QA%20Transports/job/Werfen%20BR%20release/?token=WerfenBRRelease1</v>
      </c>
      <c r="J52" s="16" t="s">
        <v>25</v>
      </c>
    </row>
    <row r="53" spans="1:10" s="17" customFormat="1" ht="33" customHeight="1">
      <c r="A53" s="13" t="s">
        <v>21</v>
      </c>
      <c r="B53" s="22" t="str">
        <f t="shared" ref="B53" si="63">CONCATENATE($I$4," ",I53,CHAR(10),CHAR(13),CHAR(10),CHAR(13),$H$4," ",H53)</f>
        <v>JENKINS_RESULT https://jenkins.werfen.com/job/Werfen%20websites/job/Production%20environment/job/QA%20Transports/job/Werfen%20BR%20hotfix/?token=WerfenBRHotfix
_x000D_
_x000D_JENKINS_TRANSPORT https://jenkins.werfen.com/job/Werfen%20websites/job/Production%20environment/job/QA%20Transports/job/Werfen%20BR%20hotfix/buildWithParameters?token=WerfenBRHotfix&amp;token2=</v>
      </c>
      <c r="C53" s="28" t="s">
        <v>188</v>
      </c>
      <c r="D53" s="28" t="s">
        <v>189</v>
      </c>
      <c r="E53" s="27" t="s">
        <v>36</v>
      </c>
      <c r="F53" s="27"/>
      <c r="G53" s="60" t="s">
        <v>190</v>
      </c>
      <c r="H53" s="34" t="str">
        <f t="shared" si="7"/>
        <v>https://jenkins.werfen.com/job/Werfen%20websites/job/Production%20environment/job/QA%20Transports/job/Werfen%20BR%20hotfix/buildWithParameters?token=WerfenBRHotfix&amp;token2=</v>
      </c>
      <c r="I53" s="34" t="str">
        <f t="shared" ref="I53" si="64">_xlfn.CONCAT("https://jenkins.werfen.com/",D53,"?token=",C53)</f>
        <v>https://jenkins.werfen.com/job/Werfen%20websites/job/Production%20environment/job/QA%20Transports/job/Werfen%20BR%20hotfix/?token=WerfenBRHotfix</v>
      </c>
      <c r="J53" s="16" t="s">
        <v>25</v>
      </c>
    </row>
    <row r="54" spans="1:10" s="17" customFormat="1" ht="33" customHeight="1">
      <c r="A54" s="13" t="s">
        <v>21</v>
      </c>
      <c r="B54" s="22" t="str">
        <f t="shared" si="0"/>
        <v>JENKINS_RESULT https://jenkins.werfen.com/job/Werfen%20websites/job/Production%20environment/job/QA%20Transports/job/Leventon/?token=LeventonRelease
_x000D_
_x000D_JENKINS_TRANSPORT https://jenkins.werfen.com/job/Werfen%20websites/job/Production%20environment/job/QA%20Transports/job/Leventon/buildWithParameters?token=LeventonRelease&amp;token2=</v>
      </c>
      <c r="C54" s="28" t="s">
        <v>191</v>
      </c>
      <c r="D54" s="28" t="s">
        <v>192</v>
      </c>
      <c r="E54" s="27" t="s">
        <v>36</v>
      </c>
      <c r="F54" s="27" t="s">
        <v>193</v>
      </c>
      <c r="G54" s="60" t="s">
        <v>194</v>
      </c>
      <c r="H54" s="34" t="str">
        <f t="shared" si="7"/>
        <v>https://jenkins.werfen.com/job/Werfen%20websites/job/Production%20environment/job/QA%20Transports/job/Leventon/buildWithParameters?token=LeventonRelease&amp;token2=</v>
      </c>
      <c r="I54" s="34" t="str">
        <f t="shared" si="60"/>
        <v>https://jenkins.werfen.com/job/Werfen%20websites/job/Production%20environment/job/QA%20Transports/job/Leventon/?token=LeventonRelease</v>
      </c>
      <c r="J54" s="16" t="s">
        <v>27</v>
      </c>
    </row>
    <row r="55" spans="1:10" s="17" customFormat="1" ht="33" customHeight="1">
      <c r="A55" s="13" t="s">
        <v>21</v>
      </c>
      <c r="B55" s="22" t="str">
        <f t="shared" ref="B55" si="65">CONCATENATE($I$4," ",I55,CHAR(10),CHAR(13),CHAR(10),CHAR(13),$H$4," ",H55)</f>
        <v>JENKINS_RESULT https://jenkins.werfen.com/job/Werfen%20websites/job/Production%20environment/job/QA%20Transports/job/Website%20Leventon%20release/?token=LeventonRelease1
_x000D_
_x000D_JENKINS_TRANSPORT https://jenkins.werfen.com/job/Werfen%20websites/job/Production%20environment/job/QA%20Transports/job/Website%20Leventon%20release/buildWithParameters?token=LeventonRelease1&amp;token2=</v>
      </c>
      <c r="C55" s="28" t="s">
        <v>195</v>
      </c>
      <c r="D55" s="28" t="s">
        <v>196</v>
      </c>
      <c r="E55" s="27" t="s">
        <v>36</v>
      </c>
      <c r="F55" s="27"/>
      <c r="G55" s="60" t="s">
        <v>197</v>
      </c>
      <c r="H55" s="34" t="str">
        <f t="shared" si="7"/>
        <v>https://jenkins.werfen.com/job/Werfen%20websites/job/Production%20environment/job/QA%20Transports/job/Website%20Leventon%20release/buildWithParameters?token=LeventonRelease1&amp;token2=</v>
      </c>
      <c r="I55" s="34" t="str">
        <f t="shared" ref="I55" si="66">_xlfn.CONCAT("https://jenkins.werfen.com/",D55,"?token=",C55)</f>
        <v>https://jenkins.werfen.com/job/Werfen%20websites/job/Production%20environment/job/QA%20Transports/job/Website%20Leventon%20release/?token=LeventonRelease1</v>
      </c>
      <c r="J55" s="16" t="s">
        <v>25</v>
      </c>
    </row>
    <row r="56" spans="1:10" s="17" customFormat="1" ht="33" customHeight="1">
      <c r="A56" s="13" t="s">
        <v>21</v>
      </c>
      <c r="B56" s="22" t="str">
        <f t="shared" ref="B56:B57" si="67">CONCATENATE($I$4," ",I56,CHAR(10),CHAR(13),CHAR(10),CHAR(13),$H$4," ",H56)</f>
        <v>JENKINS_RESULT https://jenkins.werfen.com/job/Werfen%20websites/job/Production%20environment/job/QA%20Transports/job/Websote%20Leventon%20hotfix/?token=LeventonHotfix
_x000D_
_x000D_JENKINS_TRANSPORT https://jenkins.werfen.com/job/Werfen%20websites/job/Production%20environment/job/QA%20Transports/job/Websote%20Leventon%20hotfix/buildWithParameters?token=LeventonHotfix&amp;token2=</v>
      </c>
      <c r="C56" s="28" t="s">
        <v>198</v>
      </c>
      <c r="D56" s="28" t="s">
        <v>199</v>
      </c>
      <c r="E56" s="27" t="s">
        <v>36</v>
      </c>
      <c r="F56" s="27"/>
      <c r="G56" s="60" t="s">
        <v>200</v>
      </c>
      <c r="H56" s="34" t="str">
        <f t="shared" si="7"/>
        <v>https://jenkins.werfen.com/job/Werfen%20websites/job/Production%20environment/job/QA%20Transports/job/Websote%20Leventon%20hotfix/buildWithParameters?token=LeventonHotfix&amp;token2=</v>
      </c>
      <c r="I56" s="34" t="str">
        <f t="shared" ref="I56:I57" si="68">_xlfn.CONCAT("https://jenkins.werfen.com/",D56,"?token=",C56)</f>
        <v>https://jenkins.werfen.com/job/Werfen%20websites/job/Production%20environment/job/QA%20Transports/job/Websote%20Leventon%20hotfix/?token=LeventonHotfix</v>
      </c>
      <c r="J56" s="16" t="s">
        <v>25</v>
      </c>
    </row>
    <row r="57" spans="1:10" s="17" customFormat="1" ht="60.75" customHeight="1">
      <c r="A57" s="13" t="s">
        <v>21</v>
      </c>
      <c r="B57" s="22" t="str">
        <f t="shared" si="67"/>
        <v>JENKINS_RESULT https://jenkins.werfen.com/job/Werfen%20websites/job/Production%20environment/job/QA%20Transports/job/Werfen%20PT/?token=WerfenPTRelease
_x000D_
_x000D_JENKINS_TRANSPORT https://jenkins.werfen.com/job/Werfen%20websites/job/Production%20environment/job/QA%20Transports/job/Werfen%20PT/buildWithParameters?token=WerfenPTRelease&amp;token2=</v>
      </c>
      <c r="C57" s="28" t="s">
        <v>201</v>
      </c>
      <c r="D57" s="28" t="s">
        <v>202</v>
      </c>
      <c r="E57" s="27" t="s">
        <v>36</v>
      </c>
      <c r="F57" s="27" t="s">
        <v>203</v>
      </c>
      <c r="G57" s="60" t="s">
        <v>204</v>
      </c>
      <c r="H57" s="34" t="str">
        <f t="shared" si="7"/>
        <v>https://jenkins.werfen.com/job/Werfen%20websites/job/Production%20environment/job/QA%20Transports/job/Werfen%20PT/buildWithParameters?token=WerfenPTRelease&amp;token2=</v>
      </c>
      <c r="I57" s="34" t="str">
        <f t="shared" si="68"/>
        <v>https://jenkins.werfen.com/job/Werfen%20websites/job/Production%20environment/job/QA%20Transports/job/Werfen%20PT/?token=WerfenPTRelease</v>
      </c>
      <c r="J57" s="16" t="s">
        <v>27</v>
      </c>
    </row>
    <row r="58" spans="1:10" s="17" customFormat="1" ht="60.75" customHeight="1">
      <c r="A58" s="13" t="s">
        <v>21</v>
      </c>
      <c r="B58" s="22" t="str">
        <f t="shared" ref="B58" si="69">CONCATENATE($I$4," ",I58,CHAR(10),CHAR(13),CHAR(10),CHAR(13),$H$4," ",H58)</f>
        <v>JENKINS_RESULT https://jenkins.werfen.com/job/Werfen%20websites/job/Production%20environment/job/QA%20Transports/job/Werfen%20PT%20release/?token=WerfenPTRelease1
_x000D_
_x000D_JENKINS_TRANSPORT https://jenkins.werfen.com/job/Werfen%20websites/job/Production%20environment/job/QA%20Transports/job/Werfen%20PT%20release/buildWithParameters?token=WerfenPTRelease1&amp;token2=</v>
      </c>
      <c r="C58" s="28" t="s">
        <v>205</v>
      </c>
      <c r="D58" s="28" t="s">
        <v>206</v>
      </c>
      <c r="E58" s="27" t="s">
        <v>36</v>
      </c>
      <c r="F58" s="27"/>
      <c r="G58" s="60" t="s">
        <v>207</v>
      </c>
      <c r="H58" s="34" t="str">
        <f t="shared" si="7"/>
        <v>https://jenkins.werfen.com/job/Werfen%20websites/job/Production%20environment/job/QA%20Transports/job/Werfen%20PT%20release/buildWithParameters?token=WerfenPTRelease1&amp;token2=</v>
      </c>
      <c r="I58" s="34" t="str">
        <f t="shared" ref="I58" si="70">_xlfn.CONCAT("https://jenkins.werfen.com/",D58,"?token=",C58)</f>
        <v>https://jenkins.werfen.com/job/Werfen%20websites/job/Production%20environment/job/QA%20Transports/job/Werfen%20PT%20release/?token=WerfenPTRelease1</v>
      </c>
      <c r="J58" s="16" t="s">
        <v>25</v>
      </c>
    </row>
    <row r="59" spans="1:10" s="17" customFormat="1" ht="60.75" customHeight="1">
      <c r="A59" s="13" t="s">
        <v>21</v>
      </c>
      <c r="B59" s="22" t="str">
        <f t="shared" si="0"/>
        <v>JENKINS_RESULT https://jenkins.werfen.com/job/Werfen%20websites/job/Production%20environment/job/QA%20Transports/job/Werfen%20PT%20hotfix/?token=WerfenPTHotifx
_x000D_
_x000D_JENKINS_TRANSPORT https://jenkins.werfen.com/job/Werfen%20websites/job/Production%20environment/job/QA%20Transports/job/Werfen%20PT%20hotfix/buildWithParameters?token=WerfenPTHotifx&amp;token2=</v>
      </c>
      <c r="C59" s="28" t="s">
        <v>208</v>
      </c>
      <c r="D59" s="28" t="s">
        <v>209</v>
      </c>
      <c r="E59" s="27" t="s">
        <v>36</v>
      </c>
      <c r="F59" s="27"/>
      <c r="G59" s="60" t="s">
        <v>210</v>
      </c>
      <c r="H59" s="34" t="str">
        <f t="shared" si="7"/>
        <v>https://jenkins.werfen.com/job/Werfen%20websites/job/Production%20environment/job/QA%20Transports/job/Werfen%20PT%20hotfix/buildWithParameters?token=WerfenPTHotifx&amp;token2=</v>
      </c>
      <c r="I59" s="34" t="str">
        <f t="shared" si="60"/>
        <v>https://jenkins.werfen.com/job/Werfen%20websites/job/Production%20environment/job/QA%20Transports/job/Werfen%20PT%20hotfix/?token=WerfenPTHotifx</v>
      </c>
      <c r="J59" s="16" t="s">
        <v>25</v>
      </c>
    </row>
    <row r="60" spans="1:10" s="17" customFormat="1" ht="22.35" customHeight="1">
      <c r="A60" s="13" t="s">
        <v>21</v>
      </c>
      <c r="B60" s="22" t="str">
        <f t="shared" si="0"/>
        <v>JENKINS_RESULT https://jenkins.werfen.com/job/Werfen%20websites/job/Production%20environment/job/QA%20Transports/job/Werfen%20KR/?token=WerfenKRRelease
_x000D_
_x000D_JENKINS_TRANSPORT https://jenkins.werfen.com/job/Werfen%20websites/job/Production%20environment/job/QA%20Transports/job/Werfen%20KR/buildWithParameters?token=WerfenKRRelease&amp;token2=</v>
      </c>
      <c r="C60" s="28" t="s">
        <v>211</v>
      </c>
      <c r="D60" s="28" t="s">
        <v>212</v>
      </c>
      <c r="E60" s="27" t="s">
        <v>36</v>
      </c>
      <c r="F60" s="27" t="s">
        <v>213</v>
      </c>
      <c r="G60" s="60" t="s">
        <v>214</v>
      </c>
      <c r="H60" s="34" t="str">
        <f t="shared" si="7"/>
        <v>https://jenkins.werfen.com/job/Werfen%20websites/job/Production%20environment/job/QA%20Transports/job/Werfen%20KR/buildWithParameters?token=WerfenKRRelease&amp;token2=</v>
      </c>
      <c r="I60" s="34" t="str">
        <f t="shared" si="60"/>
        <v>https://jenkins.werfen.com/job/Werfen%20websites/job/Production%20environment/job/QA%20Transports/job/Werfen%20KR/?token=WerfenKRRelease</v>
      </c>
      <c r="J60" s="16" t="s">
        <v>27</v>
      </c>
    </row>
    <row r="61" spans="1:10" s="17" customFormat="1" ht="22.35" customHeight="1">
      <c r="A61" s="13" t="s">
        <v>21</v>
      </c>
      <c r="B61" s="22" t="str">
        <f t="shared" ref="B61" si="71">CONCATENATE($I$4," ",I61,CHAR(10),CHAR(13),CHAR(10),CHAR(13),$H$4," ",H61)</f>
        <v>JENKINS_RESULT https://jenkins.werfen.com/job/Werfen%20websites/job/Production%20environment/job/QA%20Transports/job/Werfen%20KR%20release/?token=WerfenKRRelease1
_x000D_
_x000D_JENKINS_TRANSPORT https://jenkins.werfen.com/job/Werfen%20websites/job/Production%20environment/job/QA%20Transports/job/Werfen%20KR%20release/buildWithParameters?token=WerfenKRRelease1&amp;token2=</v>
      </c>
      <c r="C61" s="28" t="s">
        <v>215</v>
      </c>
      <c r="D61" s="28" t="s">
        <v>216</v>
      </c>
      <c r="E61" s="27" t="s">
        <v>36</v>
      </c>
      <c r="F61" s="27"/>
      <c r="G61" s="60" t="s">
        <v>217</v>
      </c>
      <c r="H61" s="34" t="str">
        <f t="shared" si="7"/>
        <v>https://jenkins.werfen.com/job/Werfen%20websites/job/Production%20environment/job/QA%20Transports/job/Werfen%20KR%20release/buildWithParameters?token=WerfenKRRelease1&amp;token2=</v>
      </c>
      <c r="I61" s="34" t="str">
        <f t="shared" ref="I61" si="72">_xlfn.CONCAT("https://jenkins.werfen.com/",D61,"?token=",C61)</f>
        <v>https://jenkins.werfen.com/job/Werfen%20websites/job/Production%20environment/job/QA%20Transports/job/Werfen%20KR%20release/?token=WerfenKRRelease1</v>
      </c>
      <c r="J61" s="16" t="s">
        <v>25</v>
      </c>
    </row>
    <row r="62" spans="1:10" s="17" customFormat="1" ht="22.35" customHeight="1">
      <c r="A62" s="13" t="s">
        <v>21</v>
      </c>
      <c r="B62" s="22" t="str">
        <f t="shared" ref="B62" si="73">CONCATENATE($I$4," ",I62,CHAR(10),CHAR(13),CHAR(10),CHAR(13),$H$4," ",H62)</f>
        <v>JENKINS_RESULT https://jenkins.werfen.com/job/Werfen%20websites/job/Production%20environment/job/QA%20Transports/job/Werfen%20KR%20hotfix/?token=WerfenKRHotfix
_x000D_
_x000D_JENKINS_TRANSPORT https://jenkins.werfen.com/job/Werfen%20websites/job/Production%20environment/job/QA%20Transports/job/Werfen%20KR%20hotfix/buildWithParameters?token=WerfenKRHotfix&amp;token2=</v>
      </c>
      <c r="C62" s="28" t="s">
        <v>218</v>
      </c>
      <c r="D62" s="28" t="s">
        <v>219</v>
      </c>
      <c r="E62" s="27" t="s">
        <v>36</v>
      </c>
      <c r="F62" s="27"/>
      <c r="G62" s="60" t="s">
        <v>220</v>
      </c>
      <c r="H62" s="34" t="str">
        <f t="shared" si="7"/>
        <v>https://jenkins.werfen.com/job/Werfen%20websites/job/Production%20environment/job/QA%20Transports/job/Werfen%20KR%20hotfix/buildWithParameters?token=WerfenKRHotfix&amp;token2=</v>
      </c>
      <c r="I62" s="34" t="str">
        <f t="shared" ref="I62" si="74">_xlfn.CONCAT("https://jenkins.werfen.com/",D62,"?token=",C62)</f>
        <v>https://jenkins.werfen.com/job/Werfen%20websites/job/Production%20environment/job/QA%20Transports/job/Werfen%20KR%20hotfix/?token=WerfenKRHotfix</v>
      </c>
      <c r="J62" s="16" t="s">
        <v>25</v>
      </c>
    </row>
    <row r="63" spans="1:10" s="17" customFormat="1" ht="22.5" customHeight="1">
      <c r="A63" s="13" t="s">
        <v>21</v>
      </c>
      <c r="B63" s="22" t="str">
        <f t="shared" si="0"/>
        <v>JENKINS_RESULT https://jenkins.werfen.com/job/Werfen%20websites/job/Production%20environment/job/QA%20Transports/job/Werfen%20JP/?token=WerfenJPRelease
_x000D_
_x000D_JENKINS_TRANSPORT https://jenkins.werfen.com/job/Werfen%20websites/job/Production%20environment/job/QA%20Transports/job/Werfen%20JP/buildWithParameters?token=WerfenJPRelease&amp;token2=</v>
      </c>
      <c r="C63" s="28" t="s">
        <v>221</v>
      </c>
      <c r="D63" s="28" t="s">
        <v>222</v>
      </c>
      <c r="E63" s="27" t="s">
        <v>36</v>
      </c>
      <c r="F63" s="27" t="s">
        <v>223</v>
      </c>
      <c r="G63" s="60" t="s">
        <v>224</v>
      </c>
      <c r="H63" s="34" t="str">
        <f t="shared" si="7"/>
        <v>https://jenkins.werfen.com/job/Werfen%20websites/job/Production%20environment/job/QA%20Transports/job/Werfen%20JP/buildWithParameters?token=WerfenJPRelease&amp;token2=</v>
      </c>
      <c r="I63" s="34" t="str">
        <f t="shared" si="60"/>
        <v>https://jenkins.werfen.com/job/Werfen%20websites/job/Production%20environment/job/QA%20Transports/job/Werfen%20JP/?token=WerfenJPRelease</v>
      </c>
      <c r="J63" s="16" t="s">
        <v>27</v>
      </c>
    </row>
    <row r="64" spans="1:10" s="17" customFormat="1" ht="22.5" customHeight="1">
      <c r="A64" s="13" t="s">
        <v>21</v>
      </c>
      <c r="B64" s="22" t="str">
        <f t="shared" ref="B64" si="75">CONCATENATE($I$4," ",I64,CHAR(10),CHAR(13),CHAR(10),CHAR(13),$H$4," ",H64)</f>
        <v>JENKINS_RESULT https://jenkins.werfen.com/job/Werfen%20websites/job/Production%20environment/job/QA%20Transports/job/Werfen%20JP%20release/?token=WerfenJPRelease1
_x000D_
_x000D_JENKINS_TRANSPORT https://jenkins.werfen.com/job/Werfen%20websites/job/Production%20environment/job/QA%20Transports/job/Werfen%20JP%20release/buildWithParameters?token=WerfenJPRelease1&amp;token2=</v>
      </c>
      <c r="C64" s="28" t="s">
        <v>225</v>
      </c>
      <c r="D64" s="28" t="s">
        <v>226</v>
      </c>
      <c r="E64" s="27" t="s">
        <v>36</v>
      </c>
      <c r="F64" s="27"/>
      <c r="G64" s="60" t="s">
        <v>227</v>
      </c>
      <c r="H64" s="34" t="str">
        <f t="shared" si="7"/>
        <v>https://jenkins.werfen.com/job/Werfen%20websites/job/Production%20environment/job/QA%20Transports/job/Werfen%20JP%20release/buildWithParameters?token=WerfenJPRelease1&amp;token2=</v>
      </c>
      <c r="I64" s="34" t="str">
        <f t="shared" ref="I64" si="76">_xlfn.CONCAT("https://jenkins.werfen.com/",D64,"?token=",C64)</f>
        <v>https://jenkins.werfen.com/job/Werfen%20websites/job/Production%20environment/job/QA%20Transports/job/Werfen%20JP%20release/?token=WerfenJPRelease1</v>
      </c>
      <c r="J64" s="16" t="s">
        <v>25</v>
      </c>
    </row>
    <row r="65" spans="1:10" s="17" customFormat="1" ht="22.5" customHeight="1">
      <c r="A65" s="13" t="s">
        <v>21</v>
      </c>
      <c r="B65" s="22" t="str">
        <f t="shared" ref="B65" si="77">CONCATENATE($I$4," ",I65,CHAR(10),CHAR(13),CHAR(10),CHAR(13),$H$4," ",H65)</f>
        <v>JENKINS_RESULT https://jenkins.werfen.com/job/Werfen%20websites/job/Production%20environment/job/QA%20Transports/job/Werfen%20JP%20hotfix/?token=WerfenJPHotfix
_x000D_
_x000D_JENKINS_TRANSPORT https://jenkins.werfen.com/job/Werfen%20websites/job/Production%20environment/job/QA%20Transports/job/Werfen%20JP%20hotfix/buildWithParameters?token=WerfenJPHotfix&amp;token2=</v>
      </c>
      <c r="C65" s="28" t="s">
        <v>228</v>
      </c>
      <c r="D65" s="28" t="s">
        <v>229</v>
      </c>
      <c r="E65" s="27" t="s">
        <v>36</v>
      </c>
      <c r="F65" s="27"/>
      <c r="G65" s="60" t="s">
        <v>230</v>
      </c>
      <c r="H65" s="34" t="str">
        <f t="shared" si="7"/>
        <v>https://jenkins.werfen.com/job/Werfen%20websites/job/Production%20environment/job/QA%20Transports/job/Werfen%20JP%20hotfix/buildWithParameters?token=WerfenJPHotfix&amp;token2=</v>
      </c>
      <c r="I65" s="34" t="str">
        <f t="shared" ref="I65" si="78">_xlfn.CONCAT("https://jenkins.werfen.com/",D65,"?token=",C65)</f>
        <v>https://jenkins.werfen.com/job/Werfen%20websites/job/Production%20environment/job/QA%20Transports/job/Werfen%20JP%20hotfix/?token=WerfenJPHotfix</v>
      </c>
      <c r="J65" s="16" t="s">
        <v>25</v>
      </c>
    </row>
    <row r="66" spans="1:10" s="17" customFormat="1" ht="54.75" customHeight="1">
      <c r="A66" s="55" t="s">
        <v>21</v>
      </c>
      <c r="B66" s="22" t="str">
        <f t="shared" si="0"/>
        <v>JENKINS_RESULT https://jenkins.werfen.com/job/Werfen%20websites/job/Production%20environment/job/QA%20Transports/job/Werfen%20CN%20-%20AWS/?token=WerfenCNRelease
_x000D_
_x000D_JENKINS_TRANSPORT https://jenkins.werfen.com/job/Werfen%20websites/job/Production%20environment/job/QA%20Transports/job/Werfen%20CN%20-%20AWS/build?token=WerfenCNRelease&amp;token2=</v>
      </c>
      <c r="C66" s="28" t="s">
        <v>231</v>
      </c>
      <c r="D66" s="28" t="s">
        <v>232</v>
      </c>
      <c r="E66" s="27" t="s">
        <v>24</v>
      </c>
      <c r="F66" s="27" t="s">
        <v>233</v>
      </c>
      <c r="G66" s="60" t="s">
        <v>234</v>
      </c>
      <c r="H66" s="34" t="str">
        <f t="shared" si="7"/>
        <v>https://jenkins.werfen.com/job/Werfen%20websites/job/Production%20environment/job/QA%20Transports/job/Werfen%20CN%20-%20AWS/build?token=WerfenCNRelease&amp;token2=</v>
      </c>
      <c r="I66" s="34" t="str">
        <f t="shared" si="60"/>
        <v>https://jenkins.werfen.com/job/Werfen%20websites/job/Production%20environment/job/QA%20Transports/job/Werfen%20CN%20-%20AWS/?token=WerfenCNRelease</v>
      </c>
      <c r="J66" s="16" t="s">
        <v>27</v>
      </c>
    </row>
    <row r="67" spans="1:10" s="17" customFormat="1" ht="54.75" customHeight="1">
      <c r="A67" s="55" t="s">
        <v>21</v>
      </c>
      <c r="B67" s="22" t="str">
        <f t="shared" ref="B67" si="79">CONCATENATE($I$4," ",I67,CHAR(10),CHAR(13),CHAR(10),CHAR(13),$H$4," ",H67)</f>
        <v>JENKINS_RESULT https://jenkins.werfen.com/job/Werfen%20websites/job/Production%20environment/job/QA%20Transports/job/Werfen%20CN%20-%20AWS%20release/?token=WerfenCNRelease1
_x000D_
_x000D_JENKINS_TRANSPORT https://jenkins.werfen.com/job/Werfen%20websites/job/Production%20environment/job/QA%20Transports/job/Werfen%20CN%20-%20AWS%20release/build?token=WerfenCNRelease1&amp;token2=</v>
      </c>
      <c r="C67" s="28" t="s">
        <v>235</v>
      </c>
      <c r="D67" s="28" t="s">
        <v>236</v>
      </c>
      <c r="E67" s="27" t="s">
        <v>24</v>
      </c>
      <c r="F67" s="27"/>
      <c r="G67" s="60" t="s">
        <v>237</v>
      </c>
      <c r="H67" s="34" t="str">
        <f t="shared" si="7"/>
        <v>https://jenkins.werfen.com/job/Werfen%20websites/job/Production%20environment/job/QA%20Transports/job/Werfen%20CN%20-%20AWS%20release/build?token=WerfenCNRelease1&amp;token2=</v>
      </c>
      <c r="I67" s="34" t="str">
        <f t="shared" ref="I67" si="80">_xlfn.CONCAT("https://jenkins.werfen.com/",D67,"?token=",C67)</f>
        <v>https://jenkins.werfen.com/job/Werfen%20websites/job/Production%20environment/job/QA%20Transports/job/Werfen%20CN%20-%20AWS%20release/?token=WerfenCNRelease1</v>
      </c>
      <c r="J67" s="16" t="s">
        <v>25</v>
      </c>
    </row>
    <row r="68" spans="1:10" s="17" customFormat="1" ht="54.75" customHeight="1">
      <c r="A68" s="55" t="s">
        <v>21</v>
      </c>
      <c r="B68" s="22" t="str">
        <f t="shared" ref="B68" si="81">CONCATENATE($I$4," ",I68,CHAR(10),CHAR(13),CHAR(10),CHAR(13),$H$4," ",H68)</f>
        <v>JENKINS_RESULT https://jenkins.werfen.com/job/Werfen%20websites/job/Production%20environment/job/QA%20Transports/job/Werfen%20CN%20-%20AWS%20hotfix/?token=WerfenCNHotfix
_x000D_
_x000D_JENKINS_TRANSPORT https://jenkins.werfen.com/job/Werfen%20websites/job/Production%20environment/job/QA%20Transports/job/Werfen%20CN%20-%20AWS%20hotfix/build?token=WerfenCNHotfix&amp;token2=</v>
      </c>
      <c r="C68" s="28" t="s">
        <v>238</v>
      </c>
      <c r="D68" s="28" t="s">
        <v>239</v>
      </c>
      <c r="E68" s="27" t="s">
        <v>24</v>
      </c>
      <c r="F68" s="27"/>
      <c r="G68" s="60" t="s">
        <v>240</v>
      </c>
      <c r="H68" s="34" t="str">
        <f t="shared" si="7"/>
        <v>https://jenkins.werfen.com/job/Werfen%20websites/job/Production%20environment/job/QA%20Transports/job/Werfen%20CN%20-%20AWS%20hotfix/build?token=WerfenCNHotfix&amp;token2=</v>
      </c>
      <c r="I68" s="34" t="str">
        <f t="shared" ref="I68" si="82">_xlfn.CONCAT("https://jenkins.werfen.com/",D68,"?token=",C68)</f>
        <v>https://jenkins.werfen.com/job/Werfen%20websites/job/Production%20environment/job/QA%20Transports/job/Werfen%20CN%20-%20AWS%20hotfix/?token=WerfenCNHotfix</v>
      </c>
      <c r="J68" s="16" t="s">
        <v>25</v>
      </c>
    </row>
    <row r="69" spans="1:10" s="17" customFormat="1" ht="54.75" customHeight="1">
      <c r="A69" s="55" t="s">
        <v>21</v>
      </c>
      <c r="B69" s="22" t="str">
        <f t="shared" si="0"/>
        <v>JENKINS_RESULT https://jenkins.werfen.com/job/Werfen%20websites/job/Production%20environment/job/QA%20Transports/job/Werfen%20OEM/?token=WerfenOEMRelease
_x000D_
_x000D_JENKINS_TRANSPORT https://jenkins.werfen.com/job/Werfen%20websites/job/Production%20environment/job/QA%20Transports/job/Werfen%20OEM/buildWithParameters?token=WerfenOEMRelease&amp;token2=</v>
      </c>
      <c r="C69" s="28" t="s">
        <v>241</v>
      </c>
      <c r="D69" s="28" t="s">
        <v>242</v>
      </c>
      <c r="E69" s="27" t="s">
        <v>36</v>
      </c>
      <c r="F69" s="27" t="s">
        <v>243</v>
      </c>
      <c r="G69" s="60" t="s">
        <v>244</v>
      </c>
      <c r="H69" s="34" t="str">
        <f t="shared" si="7"/>
        <v>https://jenkins.werfen.com/job/Werfen%20websites/job/Production%20environment/job/QA%20Transports/job/Werfen%20OEM/buildWithParameters?token=WerfenOEMRelease&amp;token2=</v>
      </c>
      <c r="I69" s="34" t="str">
        <f t="shared" si="60"/>
        <v>https://jenkins.werfen.com/job/Werfen%20websites/job/Production%20environment/job/QA%20Transports/job/Werfen%20OEM/?token=WerfenOEMRelease</v>
      </c>
      <c r="J69" s="16" t="s">
        <v>27</v>
      </c>
    </row>
    <row r="70" spans="1:10" s="17" customFormat="1" ht="54.75" customHeight="1">
      <c r="A70" s="55" t="s">
        <v>21</v>
      </c>
      <c r="B70" s="22" t="str">
        <f t="shared" ref="B70" si="83">CONCATENATE($I$4," ",I70,CHAR(10),CHAR(13),CHAR(10),CHAR(13),$H$4," ",H70)</f>
        <v>JENKINS_RESULT https://jenkins.werfen.com/job/Werfen%20websites/job/Production%20environment/job/QA%20Transports/job/Werfen%20OEM%20release/?token=WerfenOEMRelease1
_x000D_
_x000D_JENKINS_TRANSPORT https://jenkins.werfen.com/job/Werfen%20websites/job/Production%20environment/job/QA%20Transports/job/Werfen%20OEM%20release/buildWithParameters?token=WerfenOEMRelease1&amp;token2=</v>
      </c>
      <c r="C70" s="28" t="s">
        <v>245</v>
      </c>
      <c r="D70" s="28" t="s">
        <v>246</v>
      </c>
      <c r="E70" s="27" t="s">
        <v>36</v>
      </c>
      <c r="F70" s="27"/>
      <c r="G70" s="60" t="s">
        <v>247</v>
      </c>
      <c r="H70" s="34" t="str">
        <f t="shared" si="7"/>
        <v>https://jenkins.werfen.com/job/Werfen%20websites/job/Production%20environment/job/QA%20Transports/job/Werfen%20OEM%20release/buildWithParameters?token=WerfenOEMRelease1&amp;token2=</v>
      </c>
      <c r="I70" s="34" t="str">
        <f t="shared" ref="I70" si="84">_xlfn.CONCAT("https://jenkins.werfen.com/",D70,"?token=",C70)</f>
        <v>https://jenkins.werfen.com/job/Werfen%20websites/job/Production%20environment/job/QA%20Transports/job/Werfen%20OEM%20release/?token=WerfenOEMRelease1</v>
      </c>
      <c r="J70" s="16" t="s">
        <v>25</v>
      </c>
    </row>
    <row r="71" spans="1:10" s="17" customFormat="1" ht="54.75" customHeight="1">
      <c r="A71" s="55" t="s">
        <v>21</v>
      </c>
      <c r="B71" s="22" t="str">
        <f t="shared" ref="B71" si="85">CONCATENATE($I$4," ",I71,CHAR(10),CHAR(13),CHAR(10),CHAR(13),$H$4," ",H71)</f>
        <v>JENKINS_RESULT https://jenkins.werfen.com/job/Werfen%20websites/job/Production%20environment/job/QA%20Transports/job/Werfen%20OEM%20hotfix/?token=WerfenOEMHotfix
_x000D_
_x000D_JENKINS_TRANSPORT https://jenkins.werfen.com/job/Werfen%20websites/job/Production%20environment/job/QA%20Transports/job/Werfen%20OEM%20hotfix/buildWithParameters?token=WerfenOEMHotfix&amp;token2=</v>
      </c>
      <c r="C71" s="28" t="s">
        <v>248</v>
      </c>
      <c r="D71" s="28" t="s">
        <v>249</v>
      </c>
      <c r="E71" s="27" t="s">
        <v>36</v>
      </c>
      <c r="F71" s="27"/>
      <c r="G71" s="60" t="s">
        <v>250</v>
      </c>
      <c r="H71" s="34" t="str">
        <f t="shared" si="7"/>
        <v>https://jenkins.werfen.com/job/Werfen%20websites/job/Production%20environment/job/QA%20Transports/job/Werfen%20OEM%20hotfix/buildWithParameters?token=WerfenOEMHotfix&amp;token2=</v>
      </c>
      <c r="I71" s="34" t="str">
        <f t="shared" ref="I71" si="86">_xlfn.CONCAT("https://jenkins.werfen.com/",D71,"?token=",C71)</f>
        <v>https://jenkins.werfen.com/job/Werfen%20websites/job/Production%20environment/job/QA%20Transports/job/Werfen%20OEM%20hotfix/?token=WerfenOEMHotfix</v>
      </c>
      <c r="J71" s="16" t="s">
        <v>25</v>
      </c>
    </row>
    <row r="72" spans="1:10" s="17" customFormat="1" ht="54.75" customHeight="1">
      <c r="A72" s="55" t="s">
        <v>21</v>
      </c>
      <c r="B72" s="22" t="str">
        <f t="shared" si="0"/>
        <v>JENKINS_RESULT https://jenkins.werfen.com/job/Werfen%20websites/job/Production%20environment/job/QA%20Transports/job/Werfen%20NoAm/?token=WerfenNoAmRelease
_x000D_
_x000D_JENKINS_TRANSPORT https://jenkins.werfen.com/job/Werfen%20websites/job/Production%20environment/job/QA%20Transports/job/Werfen%20NoAm/buildWithParameters?token=WerfenNoAmRelease&amp;token2=</v>
      </c>
      <c r="C72" s="28" t="s">
        <v>251</v>
      </c>
      <c r="D72" s="28" t="s">
        <v>252</v>
      </c>
      <c r="E72" s="27" t="s">
        <v>36</v>
      </c>
      <c r="F72" s="27" t="s">
        <v>253</v>
      </c>
      <c r="G72" s="60" t="s">
        <v>254</v>
      </c>
      <c r="H72" s="34" t="str">
        <f t="shared" si="7"/>
        <v>https://jenkins.werfen.com/job/Werfen%20websites/job/Production%20environment/job/QA%20Transports/job/Werfen%20NoAm/buildWithParameters?token=WerfenNoAmRelease&amp;token2=</v>
      </c>
      <c r="I72" s="34" t="str">
        <f t="shared" si="60"/>
        <v>https://jenkins.werfen.com/job/Werfen%20websites/job/Production%20environment/job/QA%20Transports/job/Werfen%20NoAm/?token=WerfenNoAmRelease</v>
      </c>
      <c r="J72" s="16" t="s">
        <v>27</v>
      </c>
    </row>
    <row r="73" spans="1:10" s="17" customFormat="1" ht="54.75" customHeight="1">
      <c r="A73" s="55" t="s">
        <v>21</v>
      </c>
      <c r="B73" s="22" t="str">
        <f t="shared" ref="B73" si="87">CONCATENATE($I$4," ",I73,CHAR(10),CHAR(13),CHAR(10),CHAR(13),$H$4," ",H73)</f>
        <v>JENKINS_RESULT https://jenkins.werfen.com/job/Werfen%20websites/job/Production%20environment/job/QA%20Transports/job/Werfen%20NoAm%20release/?token=WerfenNoAmRelease1
_x000D_
_x000D_JENKINS_TRANSPORT https://jenkins.werfen.com/job/Werfen%20websites/job/Production%20environment/job/QA%20Transports/job/Werfen%20NoAm%20release/buildWithParameters?token=WerfenNoAmRelease1&amp;token2=</v>
      </c>
      <c r="C73" s="28" t="s">
        <v>255</v>
      </c>
      <c r="D73" s="28" t="s">
        <v>256</v>
      </c>
      <c r="E73" s="27" t="s">
        <v>36</v>
      </c>
      <c r="F73" s="27" t="s">
        <v>253</v>
      </c>
      <c r="G73" s="60" t="s">
        <v>257</v>
      </c>
      <c r="H73" s="34" t="str">
        <f t="shared" ref="H73:H138" si="88">CONCATENATE("https://jenkins.werfen.com/",D73,E73,"?token=",C73,"&amp;token2=")</f>
        <v>https://jenkins.werfen.com/job/Werfen%20websites/job/Production%20environment/job/QA%20Transports/job/Werfen%20NoAm%20release/buildWithParameters?token=WerfenNoAmRelease1&amp;token2=</v>
      </c>
      <c r="I73" s="34" t="str">
        <f t="shared" ref="I73" si="89">_xlfn.CONCAT("https://jenkins.werfen.com/",D73,"?token=",C73)</f>
        <v>https://jenkins.werfen.com/job/Werfen%20websites/job/Production%20environment/job/QA%20Transports/job/Werfen%20NoAm%20release/?token=WerfenNoAmRelease1</v>
      </c>
      <c r="J73" s="16" t="s">
        <v>25</v>
      </c>
    </row>
    <row r="74" spans="1:10" s="17" customFormat="1" ht="54.75" customHeight="1">
      <c r="A74" s="55" t="s">
        <v>21</v>
      </c>
      <c r="B74" s="22" t="str">
        <f t="shared" ref="B74" si="90">CONCATENATE($I$4," ",I74,CHAR(10),CHAR(13),CHAR(10),CHAR(13),$H$4," ",H74)</f>
        <v>JENKINS_RESULT https://jenkins.werfen.com/job/Werfen%20websites/job/Production%20environment/job/QA%20Transports/job/Werfen%20NoAm%20hotfix/?token=WerfenNoAmHotfix
_x000D_
_x000D_JENKINS_TRANSPORT https://jenkins.werfen.com/job/Werfen%20websites/job/Production%20environment/job/QA%20Transports/job/Werfen%20NoAm%20hotfix/buildWithParameters?token=WerfenNoAmHotfix&amp;token2=</v>
      </c>
      <c r="C74" s="28" t="s">
        <v>258</v>
      </c>
      <c r="D74" s="28" t="s">
        <v>259</v>
      </c>
      <c r="E74" s="27" t="s">
        <v>36</v>
      </c>
      <c r="F74" s="27" t="s">
        <v>253</v>
      </c>
      <c r="G74" s="60" t="s">
        <v>260</v>
      </c>
      <c r="H74" s="34" t="str">
        <f t="shared" si="88"/>
        <v>https://jenkins.werfen.com/job/Werfen%20websites/job/Production%20environment/job/QA%20Transports/job/Werfen%20NoAm%20hotfix/buildWithParameters?token=WerfenNoAmHotfix&amp;token2=</v>
      </c>
      <c r="I74" s="34" t="str">
        <f t="shared" ref="I74" si="91">_xlfn.CONCAT("https://jenkins.werfen.com/",D74,"?token=",C74)</f>
        <v>https://jenkins.werfen.com/job/Werfen%20websites/job/Production%20environment/job/QA%20Transports/job/Werfen%20NoAm%20hotfix/?token=WerfenNoAmHotfix</v>
      </c>
      <c r="J74" s="16" t="s">
        <v>25</v>
      </c>
    </row>
    <row r="75" spans="1:10" s="17" customFormat="1" ht="110.25">
      <c r="A75" s="55" t="s">
        <v>21</v>
      </c>
      <c r="B75" s="22" t="str">
        <f t="shared" si="0"/>
        <v>JENKINS_RESULT https://jenkins.werfen.com/job/Werfen%20websites/job/Production%20environment/job/QA%20Transports/job/Werfen%20AT/?token=WerfenATRelease
_x000D_
_x000D_JENKINS_TRANSPORT https://jenkins.werfen.com/job/Werfen%20websites/job/Production%20environment/job/QA%20Transports/job/Werfen%20AT/buildWithParameters?token=WerfenATRelease&amp;token2=</v>
      </c>
      <c r="C75" s="28" t="s">
        <v>261</v>
      </c>
      <c r="D75" s="28" t="s">
        <v>262</v>
      </c>
      <c r="E75" s="27" t="s">
        <v>36</v>
      </c>
      <c r="F75" s="27" t="s">
        <v>263</v>
      </c>
      <c r="G75" s="60" t="s">
        <v>264</v>
      </c>
      <c r="H75" s="34" t="str">
        <f t="shared" si="88"/>
        <v>https://jenkins.werfen.com/job/Werfen%20websites/job/Production%20environment/job/QA%20Transports/job/Werfen%20AT/buildWithParameters?token=WerfenATRelease&amp;token2=</v>
      </c>
      <c r="I75" s="34" t="str">
        <f t="shared" si="60"/>
        <v>https://jenkins.werfen.com/job/Werfen%20websites/job/Production%20environment/job/QA%20Transports/job/Werfen%20AT/?token=WerfenATRelease</v>
      </c>
      <c r="J75" s="16" t="s">
        <v>27</v>
      </c>
    </row>
    <row r="76" spans="1:10" s="17" customFormat="1" ht="110.25">
      <c r="A76" s="56" t="s">
        <v>265</v>
      </c>
      <c r="B76" s="22" t="str">
        <f t="shared" si="0"/>
        <v>JENKINS_RESULT https://jenkins.werfen.com/job/TicketLine/job/Production%20Environment/job/QA%20Transports/job/TicketLine/?token=TicketLineRelease
_x000D_
_x000D_JENKINS_TRANSPORT https://jenkins.werfen.com/job/TicketLine/job/Production%20Environment/job/QA%20Transports/job/TicketLine/buildWithParameters?token=TicketLineRelease&amp;token2=</v>
      </c>
      <c r="C76" s="28" t="s">
        <v>266</v>
      </c>
      <c r="D76" s="28" t="s">
        <v>267</v>
      </c>
      <c r="E76" s="27" t="s">
        <v>36</v>
      </c>
      <c r="F76" s="28" t="s">
        <v>268</v>
      </c>
      <c r="G76" s="60" t="s">
        <v>269</v>
      </c>
      <c r="H76" s="34" t="str">
        <f t="shared" si="88"/>
        <v>https://jenkins.werfen.com/job/TicketLine/job/Production%20Environment/job/QA%20Transports/job/TicketLine/buildWithParameters?token=TicketLineRelease&amp;token2=</v>
      </c>
      <c r="I76" s="34" t="str">
        <f t="shared" si="60"/>
        <v>https://jenkins.werfen.com/job/TicketLine/job/Production%20Environment/job/QA%20Transports/job/TicketLine/?token=TicketLineRelease</v>
      </c>
      <c r="J76" s="16" t="s">
        <v>27</v>
      </c>
    </row>
    <row r="77" spans="1:10" s="17" customFormat="1" ht="126">
      <c r="A77" s="55" t="s">
        <v>21</v>
      </c>
      <c r="B77" s="22" t="str">
        <f t="shared" ref="B77" si="92">CONCATENATE($I$4," ",I77,CHAR(10),CHAR(13),CHAR(10),CHAR(13),$H$4," ",H77)</f>
        <v>JENKINS_RESULT https://jenkins.werfen.com/job/Werfen%20websites/job/Production%20environment/job/QA%20Transports/job/Werfen%20AT%20release/?token=WerfenATRelease1
_x000D_
_x000D_JENKINS_TRANSPORT https://jenkins.werfen.com/job/Werfen%20websites/job/Production%20environment/job/QA%20Transports/job/Werfen%20AT%20release/buildWithParameters?token=WerfenATRelease1&amp;token2=</v>
      </c>
      <c r="C77" s="28" t="s">
        <v>270</v>
      </c>
      <c r="D77" s="28" t="s">
        <v>271</v>
      </c>
      <c r="E77" s="27" t="s">
        <v>36</v>
      </c>
      <c r="F77" s="27"/>
      <c r="G77" s="60" t="s">
        <v>272</v>
      </c>
      <c r="H77" s="34" t="str">
        <f t="shared" si="88"/>
        <v>https://jenkins.werfen.com/job/Werfen%20websites/job/Production%20environment/job/QA%20Transports/job/Werfen%20AT%20release/buildWithParameters?token=WerfenATRelease1&amp;token2=</v>
      </c>
      <c r="I77" s="34" t="str">
        <f t="shared" ref="I77" si="93">_xlfn.CONCAT("https://jenkins.werfen.com/",D77,"?token=",C77)</f>
        <v>https://jenkins.werfen.com/job/Werfen%20websites/job/Production%20environment/job/QA%20Transports/job/Werfen%20AT%20release/?token=WerfenATRelease1</v>
      </c>
      <c r="J77" s="16" t="s">
        <v>25</v>
      </c>
    </row>
    <row r="78" spans="1:10" s="17" customFormat="1" ht="126">
      <c r="A78" s="55" t="s">
        <v>21</v>
      </c>
      <c r="B78" s="22" t="str">
        <f t="shared" ref="B78" si="94">CONCATENATE($I$4," ",I78,CHAR(10),CHAR(13),CHAR(10),CHAR(13),$H$4," ",H78)</f>
        <v>JENKINS_RESULT https://jenkins.werfen.com/job/Werfen%20websites/job/Production%20environment/job/QA%20Transports/job/Werfen%20AT%20hotfix/?token=WerfenATHotfix
_x000D_
_x000D_JENKINS_TRANSPORT https://jenkins.werfen.com/job/Werfen%20websites/job/Production%20environment/job/QA%20Transports/job/Werfen%20AT%20hotfix/buildWithParameters?token=WerfenATHotfix&amp;token2=</v>
      </c>
      <c r="C78" s="28" t="s">
        <v>273</v>
      </c>
      <c r="D78" s="28" t="s">
        <v>274</v>
      </c>
      <c r="E78" s="27" t="s">
        <v>36</v>
      </c>
      <c r="F78" s="27"/>
      <c r="G78" s="60" t="s">
        <v>275</v>
      </c>
      <c r="H78" s="34" t="str">
        <f t="shared" si="88"/>
        <v>https://jenkins.werfen.com/job/Werfen%20websites/job/Production%20environment/job/QA%20Transports/job/Werfen%20AT%20hotfix/buildWithParameters?token=WerfenATHotfix&amp;token2=</v>
      </c>
      <c r="I78" s="34" t="str">
        <f t="shared" ref="I78" si="95">_xlfn.CONCAT("https://jenkins.werfen.com/",D78,"?token=",C78)</f>
        <v>https://jenkins.werfen.com/job/Werfen%20websites/job/Production%20environment/job/QA%20Transports/job/Werfen%20AT%20hotfix/?token=WerfenATHotfix</v>
      </c>
      <c r="J78" s="16" t="s">
        <v>25</v>
      </c>
    </row>
    <row r="79" spans="1:10" s="17" customFormat="1" ht="110.25">
      <c r="A79" s="56" t="s">
        <v>265</v>
      </c>
      <c r="B79" s="22" t="str">
        <f t="shared" ref="B79" si="96">CONCATENATE($I$4," ",I79,CHAR(10),CHAR(13),CHAR(10),CHAR(13),$H$4," ",H79)</f>
        <v>JENKINS_RESULT https://jenkins.werfen.com/job/TicketLine/job/Production%20Environment/job/QA%20Transports/job/Deploy%20release/?token=TicketLineRelease1
_x000D_
_x000D_JENKINS_TRANSPORT https://jenkins.werfen.com/job/TicketLine/job/Production%20Environment/job/QA%20Transports/job/Deploy%20release/build?token=TicketLineRelease1&amp;token2=</v>
      </c>
      <c r="C79" s="28" t="s">
        <v>276</v>
      </c>
      <c r="D79" s="28" t="s">
        <v>277</v>
      </c>
      <c r="E79" s="28" t="s">
        <v>24</v>
      </c>
      <c r="F79" s="28"/>
      <c r="G79" s="60" t="s">
        <v>278</v>
      </c>
      <c r="H79" s="34" t="str">
        <f t="shared" si="88"/>
        <v>https://jenkins.werfen.com/job/TicketLine/job/Production%20Environment/job/QA%20Transports/job/Deploy%20release/build?token=TicketLineRelease1&amp;token2=</v>
      </c>
      <c r="I79" s="34" t="str">
        <f t="shared" ref="I79" si="97">_xlfn.CONCAT("https://jenkins.werfen.com/",D79,"?token=",C79)</f>
        <v>https://jenkins.werfen.com/job/TicketLine/job/Production%20Environment/job/QA%20Transports/job/Deploy%20release/?token=TicketLineRelease1</v>
      </c>
      <c r="J79" s="16" t="s">
        <v>25</v>
      </c>
    </row>
    <row r="80" spans="1:10" s="17" customFormat="1" ht="110.25">
      <c r="A80" s="56" t="s">
        <v>265</v>
      </c>
      <c r="B80" s="22" t="str">
        <f t="shared" ref="B80" si="98">CONCATENATE($I$4," ",I80,CHAR(10),CHAR(13),CHAR(10),CHAR(13),$H$4," ",H80)</f>
        <v>JENKINS_RESULT https://jenkins.werfen.com/job/TicketLine/job/Production%20Environment/job/QA%20Transports/job/Deploy%20hotfix/?token=TicketLineHotfix
_x000D_
_x000D_JENKINS_TRANSPORT https://jenkins.werfen.com/job/TicketLine/job/Production%20Environment/job/QA%20Transports/job/Deploy%20hotfix/build?token=TicketLineHotfix&amp;token2=</v>
      </c>
      <c r="C80" s="28" t="s">
        <v>279</v>
      </c>
      <c r="D80" s="28" t="s">
        <v>280</v>
      </c>
      <c r="E80" s="28" t="s">
        <v>24</v>
      </c>
      <c r="F80" s="28"/>
      <c r="G80" s="60" t="s">
        <v>281</v>
      </c>
      <c r="H80" s="34" t="str">
        <f t="shared" si="88"/>
        <v>https://jenkins.werfen.com/job/TicketLine/job/Production%20Environment/job/QA%20Transports/job/Deploy%20hotfix/build?token=TicketLineHotfix&amp;token2=</v>
      </c>
      <c r="I80" s="34" t="str">
        <f t="shared" ref="I80" si="99">_xlfn.CONCAT("https://jenkins.werfen.com/",D80,"?token=",C80)</f>
        <v>https://jenkins.werfen.com/job/TicketLine/job/Production%20Environment/job/QA%20Transports/job/Deploy%20hotfix/?token=TicketLineHotfix</v>
      </c>
      <c r="J80" s="16" t="s">
        <v>25</v>
      </c>
    </row>
    <row r="81" spans="1:10" s="17" customFormat="1" ht="110.25">
      <c r="A81" s="56" t="s">
        <v>265</v>
      </c>
      <c r="B81" s="22" t="str">
        <f t="shared" si="0"/>
        <v>JENKINS_RESULT https://jenkins.werfen.com/job/TicketLine/job/Production%20Environment/job/QA%20Transports/job/Solr%20Middleware/?token=SolrMiddlewareRelease
_x000D_
_x000D_JENKINS_TRANSPORT https://jenkins.werfen.com/job/TicketLine/job/Production%20Environment/job/QA%20Transports/job/Solr%20Middleware/build?token=SolrMiddlewareRelease&amp;token2=</v>
      </c>
      <c r="C81" s="28" t="s">
        <v>282</v>
      </c>
      <c r="D81" s="28" t="s">
        <v>283</v>
      </c>
      <c r="E81" s="28" t="s">
        <v>24</v>
      </c>
      <c r="F81" s="28" t="s">
        <v>284</v>
      </c>
      <c r="G81" s="60" t="s">
        <v>285</v>
      </c>
      <c r="H81" s="34" t="str">
        <f t="shared" si="88"/>
        <v>https://jenkins.werfen.com/job/TicketLine/job/Production%20Environment/job/QA%20Transports/job/Solr%20Middleware/build?token=SolrMiddlewareRelease&amp;token2=</v>
      </c>
      <c r="I81" s="34" t="str">
        <f t="shared" si="60"/>
        <v>https://jenkins.werfen.com/job/TicketLine/job/Production%20Environment/job/QA%20Transports/job/Solr%20Middleware/?token=SolrMiddlewareRelease</v>
      </c>
      <c r="J81" s="16" t="s">
        <v>27</v>
      </c>
    </row>
    <row r="82" spans="1:10" s="17" customFormat="1" ht="110.25">
      <c r="A82" s="56" t="s">
        <v>265</v>
      </c>
      <c r="B82" s="22" t="str">
        <f t="shared" ref="B82" si="100">CONCATENATE($I$4," ",I82,CHAR(10),CHAR(13),CHAR(10),CHAR(13),$H$4," ",H82)</f>
        <v>JENKINS_RESULT https://jenkins.werfen.com/job/TicketLine/job/Production%20Environment/job/QA%20Transports/job/Solr%20Middleware%20release/?token=SolrMiddlewareRelease1
_x000D_
_x000D_JENKINS_TRANSPORT https://jenkins.werfen.com/job/TicketLine/job/Production%20Environment/job/QA%20Transports/job/Solr%20Middleware%20release/build?token=SolrMiddlewareRelease1&amp;token2=</v>
      </c>
      <c r="C82" s="28" t="s">
        <v>286</v>
      </c>
      <c r="D82" s="28" t="s">
        <v>287</v>
      </c>
      <c r="E82" s="28" t="s">
        <v>24</v>
      </c>
      <c r="F82" s="28"/>
      <c r="G82" s="60" t="s">
        <v>288</v>
      </c>
      <c r="H82" s="34" t="str">
        <f t="shared" si="88"/>
        <v>https://jenkins.werfen.com/job/TicketLine/job/Production%20Environment/job/QA%20Transports/job/Solr%20Middleware%20release/build?token=SolrMiddlewareRelease1&amp;token2=</v>
      </c>
      <c r="I82" s="34" t="str">
        <f t="shared" ref="I82" si="101">_xlfn.CONCAT("https://jenkins.werfen.com/",D82,"?token=",C82)</f>
        <v>https://jenkins.werfen.com/job/TicketLine/job/Production%20Environment/job/QA%20Transports/job/Solr%20Middleware%20release/?token=SolrMiddlewareRelease1</v>
      </c>
      <c r="J82" s="16" t="s">
        <v>25</v>
      </c>
    </row>
    <row r="83" spans="1:10" s="17" customFormat="1" ht="110.25">
      <c r="A83" s="56" t="s">
        <v>265</v>
      </c>
      <c r="B83" s="22" t="str">
        <f t="shared" ref="B83" si="102">CONCATENATE($I$4," ",I83,CHAR(10),CHAR(13),CHAR(10),CHAR(13),$H$4," ",H83)</f>
        <v>JENKINS_RESULT https://jenkins.werfen.com/job/TicketLine/job/Production%20Environment/job/QA%20Transports/job/Solr%20Middleware%20hotfix/?token=SolrMiddlewareHotfix
_x000D_
_x000D_JENKINS_TRANSPORT https://jenkins.werfen.com/job/TicketLine/job/Production%20Environment/job/QA%20Transports/job/Solr%20Middleware%20hotfix/build?token=SolrMiddlewareHotfix&amp;token2=</v>
      </c>
      <c r="C83" s="28" t="s">
        <v>289</v>
      </c>
      <c r="D83" s="28" t="s">
        <v>290</v>
      </c>
      <c r="E83" s="28" t="s">
        <v>24</v>
      </c>
      <c r="F83" s="28"/>
      <c r="G83" s="60" t="s">
        <v>291</v>
      </c>
      <c r="H83" s="34" t="str">
        <f t="shared" si="88"/>
        <v>https://jenkins.werfen.com/job/TicketLine/job/Production%20Environment/job/QA%20Transports/job/Solr%20Middleware%20hotfix/build?token=SolrMiddlewareHotfix&amp;token2=</v>
      </c>
      <c r="I83" s="34" t="str">
        <f t="shared" ref="I83" si="103">_xlfn.CONCAT("https://jenkins.werfen.com/",D83,"?token=",C83)</f>
        <v>https://jenkins.werfen.com/job/TicketLine/job/Production%20Environment/job/QA%20Transports/job/Solr%20Middleware%20hotfix/?token=SolrMiddlewareHotfix</v>
      </c>
      <c r="J83" s="16" t="s">
        <v>25</v>
      </c>
    </row>
    <row r="84" spans="1:10" s="17" customFormat="1" ht="95.25" customHeight="1">
      <c r="A84" s="13" t="s">
        <v>292</v>
      </c>
      <c r="B84" s="22" t="str">
        <f t="shared" si="0"/>
        <v>JENKINS_RESULT https://jenkins.werfen.com/job/WerfenDocs/job/Production/job/QA%20Transports/job/Werfen%20Docs%20Full%20Release/?token=WerfenDocsFullRelease
_x000D_
_x000D_JENKINS_TRANSPORT https://jenkins.werfen.com/job/WerfenDocs/job/Production/job/QA%20Transports/job/Werfen%20Docs%20Full%20Release/build?token=WerfenDocsFullRelease&amp;token2=</v>
      </c>
      <c r="C84" s="28" t="s">
        <v>293</v>
      </c>
      <c r="D84" s="28" t="s">
        <v>294</v>
      </c>
      <c r="E84" s="28" t="s">
        <v>24</v>
      </c>
      <c r="F84" s="28" t="s">
        <v>295</v>
      </c>
      <c r="G84" s="60" t="s">
        <v>296</v>
      </c>
      <c r="H84" s="34" t="str">
        <f t="shared" si="88"/>
        <v>https://jenkins.werfen.com/job/WerfenDocs/job/Production/job/QA%20Transports/job/Werfen%20Docs%20Full%20Release/build?token=WerfenDocsFullRelease&amp;token2=</v>
      </c>
      <c r="I84" s="34" t="str">
        <f t="shared" si="60"/>
        <v>https://jenkins.werfen.com/job/WerfenDocs/job/Production/job/QA%20Transports/job/Werfen%20Docs%20Full%20Release/?token=WerfenDocsFullRelease</v>
      </c>
      <c r="J84" s="16" t="s">
        <v>27</v>
      </c>
    </row>
    <row r="85" spans="1:10" s="17" customFormat="1" ht="95.25" customHeight="1">
      <c r="A85" s="13" t="s">
        <v>292</v>
      </c>
      <c r="B85" s="22" t="str">
        <f t="shared" ref="B85" si="104">CONCATENATE($I$4," ",I85,CHAR(10),CHAR(13),CHAR(10),CHAR(13),$H$4," ",H85)</f>
        <v>JENKINS_RESULT https://jenkins.werfen.com/job/WerfenDocs/job/Production/job/QA%20Transports/job/Werfen%20Docs%20release/?token=WerfenDocsRelease
_x000D_
_x000D_JENKINS_TRANSPORT https://jenkins.werfen.com/job/WerfenDocs/job/Production/job/QA%20Transports/job/Werfen%20Docs%20release/buildWithParameters?token=WerfenDocsRelease&amp;token2=</v>
      </c>
      <c r="C85" s="28" t="s">
        <v>297</v>
      </c>
      <c r="D85" s="28" t="s">
        <v>298</v>
      </c>
      <c r="E85" s="28" t="s">
        <v>36</v>
      </c>
      <c r="F85" s="28"/>
      <c r="G85" s="60" t="s">
        <v>299</v>
      </c>
      <c r="H85" s="34" t="str">
        <f t="shared" si="88"/>
        <v>https://jenkins.werfen.com/job/WerfenDocs/job/Production/job/QA%20Transports/job/Werfen%20Docs%20release/buildWithParameters?token=WerfenDocsRelease&amp;token2=</v>
      </c>
      <c r="I85" s="34" t="str">
        <f t="shared" ref="I85" si="105">_xlfn.CONCAT("https://jenkins.werfen.com/",D85,"?token=",C85)</f>
        <v>https://jenkins.werfen.com/job/WerfenDocs/job/Production/job/QA%20Transports/job/Werfen%20Docs%20release/?token=WerfenDocsRelease</v>
      </c>
      <c r="J85" s="16" t="s">
        <v>25</v>
      </c>
    </row>
    <row r="86" spans="1:10" s="17" customFormat="1" ht="95.25" customHeight="1">
      <c r="A86" s="13" t="s">
        <v>292</v>
      </c>
      <c r="B86" s="22" t="str">
        <f t="shared" ref="B86" si="106">CONCATENATE($I$4," ",I86,CHAR(10),CHAR(13),CHAR(10),CHAR(13),$H$4," ",H86)</f>
        <v>JENKINS_RESULT https://jenkins.werfen.com/job/WerfenDocs/job/Production/job/QA%20Transports/job/Werfen%20Docs%20hotfix/?token=WerfenDocsHotfix
_x000D_
_x000D_JENKINS_TRANSPORT https://jenkins.werfen.com/job/WerfenDocs/job/Production/job/QA%20Transports/job/Werfen%20Docs%20hotfix/buildWithParameters?token=WerfenDocsHotfix&amp;token2=</v>
      </c>
      <c r="C86" s="28" t="s">
        <v>300</v>
      </c>
      <c r="D86" s="28" t="s">
        <v>301</v>
      </c>
      <c r="E86" s="28" t="s">
        <v>36</v>
      </c>
      <c r="F86" s="28"/>
      <c r="G86" s="60" t="s">
        <v>302</v>
      </c>
      <c r="H86" s="34" t="str">
        <f t="shared" si="88"/>
        <v>https://jenkins.werfen.com/job/WerfenDocs/job/Production/job/QA%20Transports/job/Werfen%20Docs%20hotfix/buildWithParameters?token=WerfenDocsHotfix&amp;token2=</v>
      </c>
      <c r="I86" s="34" t="str">
        <f t="shared" ref="I86" si="107">_xlfn.CONCAT("https://jenkins.werfen.com/",D86,"?token=",C86)</f>
        <v>https://jenkins.werfen.com/job/WerfenDocs/job/Production/job/QA%20Transports/job/Werfen%20Docs%20hotfix/?token=WerfenDocsHotfix</v>
      </c>
      <c r="J86" s="16" t="s">
        <v>25</v>
      </c>
    </row>
    <row r="87" spans="1:10" s="17" customFormat="1" ht="121.35" customHeight="1">
      <c r="A87" s="55" t="s">
        <v>303</v>
      </c>
      <c r="B87" s="22" t="str">
        <f t="shared" si="0"/>
        <v>JENKINS_RESULT https://jenkins.werfen.com/job/Case%20Portal%20(Legacy)/job/Production%20Environment/job/QA%20Transports/job/Case%20Portal%20Legacy/?token=CasePortalRelease
_x000D_
_x000D_JENKINS_TRANSPORT https://jenkins.werfen.com/job/Case%20Portal%20(Legacy)/job/Production%20Environment/job/QA%20Transports/job/Case%20Portal%20Legacy/build?token=CasePortalRelease&amp;token2=</v>
      </c>
      <c r="C87" s="28" t="s">
        <v>304</v>
      </c>
      <c r="D87" s="28" t="s">
        <v>305</v>
      </c>
      <c r="E87" s="28" t="s">
        <v>24</v>
      </c>
      <c r="F87" s="28" t="s">
        <v>306</v>
      </c>
      <c r="G87" s="60" t="s">
        <v>307</v>
      </c>
      <c r="H87" s="34" t="str">
        <f t="shared" si="88"/>
        <v>https://jenkins.werfen.com/job/Case%20Portal%20(Legacy)/job/Production%20Environment/job/QA%20Transports/job/Case%20Portal%20Legacy/build?token=CasePortalRelease&amp;token2=</v>
      </c>
      <c r="I87" s="34" t="str">
        <f t="shared" si="60"/>
        <v>https://jenkins.werfen.com/job/Case%20Portal%20(Legacy)/job/Production%20Environment/job/QA%20Transports/job/Case%20Portal%20Legacy/?token=CasePortalRelease</v>
      </c>
      <c r="J87" s="16" t="s">
        <v>27</v>
      </c>
    </row>
    <row r="88" spans="1:10" s="17" customFormat="1" ht="121.35" customHeight="1">
      <c r="A88" s="55" t="s">
        <v>21</v>
      </c>
      <c r="B88" s="22" t="str">
        <f t="shared" ref="B88" si="108">CONCATENATE($I$4," ",I88,CHAR(10),CHAR(13),CHAR(10),CHAR(13),$H$4," ",H88)</f>
        <v>JENKINS_RESULT https://jenkins.werfen.com/job/Middleware%20ADP/job/Production%20environment/job/QA%20Transports/job/Deploy%20site/?token=MiddlewareADPRelease
_x000D_
_x000D_JENKINS_TRANSPORT https://jenkins.werfen.com/job/Middleware%20ADP/job/Production%20environment/job/QA%20Transports/job/Deploy%20site/buildWithParameters?token=MiddlewareADPRelease&amp;token2=</v>
      </c>
      <c r="C88" s="28" t="s">
        <v>308</v>
      </c>
      <c r="D88" s="28" t="s">
        <v>309</v>
      </c>
      <c r="E88" s="27" t="s">
        <v>36</v>
      </c>
      <c r="F88" s="28" t="s">
        <v>310</v>
      </c>
      <c r="G88" s="60" t="s">
        <v>311</v>
      </c>
      <c r="H88" s="34" t="str">
        <f t="shared" si="88"/>
        <v>https://jenkins.werfen.com/job/Middleware%20ADP/job/Production%20environment/job/QA%20Transports/job/Deploy%20site/buildWithParameters?token=MiddlewareADPRelease&amp;token2=</v>
      </c>
      <c r="I88" s="34" t="str">
        <f t="shared" ref="I88" si="109">_xlfn.CONCAT("https://jenkins.werfen.com/",D88,"?token=",C88)</f>
        <v>https://jenkins.werfen.com/job/Middleware%20ADP/job/Production%20environment/job/QA%20Transports/job/Deploy%20site/?token=MiddlewareADPRelease</v>
      </c>
      <c r="J88" s="16" t="s">
        <v>27</v>
      </c>
    </row>
    <row r="89" spans="1:10" s="17" customFormat="1" ht="121.35" customHeight="1">
      <c r="A89" s="55" t="s">
        <v>21</v>
      </c>
      <c r="B89" s="22" t="str">
        <f t="shared" ref="B89" si="110">CONCATENATE($I$4," ",I89,CHAR(10),CHAR(13),CHAR(10),CHAR(13),$H$4," ",H89)</f>
        <v>JENKINS_RESULT https://jenkins.werfen.com/job/Middleware%20ADP/job/Production%20environment/job/QA%20Transports/job/Deploy%20release/?token=MiddlewareADPRelease1
_x000D_
_x000D_JENKINS_TRANSPORT https://jenkins.werfen.com/job/Middleware%20ADP/job/Production%20environment/job/QA%20Transports/job/Deploy%20release/buildWithParameters?token=MiddlewareADPRelease1&amp;token2=</v>
      </c>
      <c r="C89" s="28" t="s">
        <v>312</v>
      </c>
      <c r="D89" s="28" t="s">
        <v>313</v>
      </c>
      <c r="E89" s="27" t="s">
        <v>36</v>
      </c>
      <c r="F89" s="28" t="s">
        <v>310</v>
      </c>
      <c r="G89" s="60" t="s">
        <v>314</v>
      </c>
      <c r="H89" s="34" t="str">
        <f t="shared" si="88"/>
        <v>https://jenkins.werfen.com/job/Middleware%20ADP/job/Production%20environment/job/QA%20Transports/job/Deploy%20release/buildWithParameters?token=MiddlewareADPRelease1&amp;token2=</v>
      </c>
      <c r="I89" s="34" t="str">
        <f t="shared" ref="I89" si="111">_xlfn.CONCAT("https://jenkins.werfen.com/",D89,"?token=",C89)</f>
        <v>https://jenkins.werfen.com/job/Middleware%20ADP/job/Production%20environment/job/QA%20Transports/job/Deploy%20release/?token=MiddlewareADPRelease1</v>
      </c>
      <c r="J89" s="16" t="s">
        <v>25</v>
      </c>
    </row>
    <row r="90" spans="1:10" s="17" customFormat="1" ht="121.35" customHeight="1">
      <c r="A90" s="55" t="s">
        <v>21</v>
      </c>
      <c r="B90" s="22" t="str">
        <f t="shared" ref="B90" si="112">CONCATENATE($I$4," ",I90,CHAR(10),CHAR(13),CHAR(10),CHAR(13),$H$4," ",H90)</f>
        <v>JENKINS_RESULT https://jenkins.werfen.com/job/Middleware%20ADP/job/Production%20environment/job/QA%20Transports/job/Deploy%20hotfix/?token=MiddlewareADPHotfix
_x000D_
_x000D_JENKINS_TRANSPORT https://jenkins.werfen.com/job/Middleware%20ADP/job/Production%20environment/job/QA%20Transports/job/Deploy%20hotfix/buildWithParameters?token=MiddlewareADPHotfix&amp;token2=</v>
      </c>
      <c r="C90" s="28" t="s">
        <v>315</v>
      </c>
      <c r="D90" s="28" t="s">
        <v>316</v>
      </c>
      <c r="E90" s="27" t="s">
        <v>36</v>
      </c>
      <c r="F90" s="28" t="s">
        <v>310</v>
      </c>
      <c r="G90" s="60" t="s">
        <v>317</v>
      </c>
      <c r="H90" s="34" t="str">
        <f t="shared" si="88"/>
        <v>https://jenkins.werfen.com/job/Middleware%20ADP/job/Production%20environment/job/QA%20Transports/job/Deploy%20hotfix/buildWithParameters?token=MiddlewareADPHotfix&amp;token2=</v>
      </c>
      <c r="I90" s="34" t="str">
        <f t="shared" ref="I90" si="113">_xlfn.CONCAT("https://jenkins.werfen.com/",D90,"?token=",C90)</f>
        <v>https://jenkins.werfen.com/job/Middleware%20ADP/job/Production%20environment/job/QA%20Transports/job/Deploy%20hotfix/?token=MiddlewareADPHotfix</v>
      </c>
      <c r="J90" s="16" t="s">
        <v>25</v>
      </c>
    </row>
    <row r="91" spans="1:10" s="17" customFormat="1" ht="109.35" customHeight="1">
      <c r="A91" s="55" t="s">
        <v>318</v>
      </c>
      <c r="B91" s="22" t="str">
        <f>CONCATENATE($I$4," ",I91,CHAR(10),CHAR(13),CHAR(10),CHAR(13),$H$4," ",H91)</f>
        <v>JENKINS_RESULT https://jenkins.werfen.com/job/Monthly%20Report/job/Production%20Environment/job/QA%20Transports/job/Deploy/?token=MonthlyReportRelease
_x000D_
_x000D_JENKINS_TRANSPORT https://jenkins.werfen.com/job/Monthly%20Report/job/Production%20Environment/job/QA%20Transports/job/Deploy/buildWithParameters?token=MonthlyReportRelease&amp;token2=</v>
      </c>
      <c r="C91" s="28" t="s">
        <v>319</v>
      </c>
      <c r="D91" s="28" t="s">
        <v>320</v>
      </c>
      <c r="E91" s="27" t="s">
        <v>36</v>
      </c>
      <c r="F91" s="28" t="s">
        <v>321</v>
      </c>
      <c r="G91" s="60" t="s">
        <v>322</v>
      </c>
      <c r="H91" s="34" t="str">
        <f t="shared" si="88"/>
        <v>https://jenkins.werfen.com/job/Monthly%20Report/job/Production%20Environment/job/QA%20Transports/job/Deploy/buildWithParameters?token=MonthlyReportRelease&amp;token2=</v>
      </c>
      <c r="I91" s="34" t="str">
        <f t="shared" ref="I91" si="114">_xlfn.CONCAT("https://jenkins.werfen.com/",D91,"?token=",C91)</f>
        <v>https://jenkins.werfen.com/job/Monthly%20Report/job/Production%20Environment/job/QA%20Transports/job/Deploy/?token=MonthlyReportRelease</v>
      </c>
      <c r="J91" s="16" t="s">
        <v>27</v>
      </c>
    </row>
    <row r="92" spans="1:10" s="17" customFormat="1" ht="109.35" customHeight="1">
      <c r="A92" s="55" t="s">
        <v>318</v>
      </c>
      <c r="B92" s="22" t="str">
        <f t="shared" ref="B92" si="115">CONCATENATE($I$4," ",I92,CHAR(10),CHAR(13),CHAR(10),CHAR(13),$H$4," ",H92)</f>
        <v>JENKINS_RESULT https://jenkins.werfen.com/job/Monthly%20Report/job/Production%20Environment/job/QA%20Transports/job/Deploy%20release/?token=MonthlyReportRelease1
_x000D_
_x000D_JENKINS_TRANSPORT https://jenkins.werfen.com/job/Monthly%20Report/job/Production%20Environment/job/QA%20Transports/job/Deploy%20release/buildWithParameters?token=MonthlyReportRelease1&amp;token2=</v>
      </c>
      <c r="C92" s="28" t="s">
        <v>323</v>
      </c>
      <c r="D92" s="28" t="s">
        <v>324</v>
      </c>
      <c r="E92" s="27" t="s">
        <v>36</v>
      </c>
      <c r="F92" s="28" t="s">
        <v>321</v>
      </c>
      <c r="G92" s="60" t="s">
        <v>325</v>
      </c>
      <c r="H92" s="34" t="str">
        <f t="shared" si="88"/>
        <v>https://jenkins.werfen.com/job/Monthly%20Report/job/Production%20Environment/job/QA%20Transports/job/Deploy%20release/buildWithParameters?token=MonthlyReportRelease1&amp;token2=</v>
      </c>
      <c r="I92" s="34" t="str">
        <f t="shared" ref="I92" si="116">_xlfn.CONCAT("https://jenkins.werfen.com/",D92,"?token=",C92)</f>
        <v>https://jenkins.werfen.com/job/Monthly%20Report/job/Production%20Environment/job/QA%20Transports/job/Deploy%20release/?token=MonthlyReportRelease1</v>
      </c>
      <c r="J92" s="16" t="s">
        <v>25</v>
      </c>
    </row>
    <row r="93" spans="1:10" s="17" customFormat="1" ht="109.35" customHeight="1">
      <c r="A93" s="55" t="s">
        <v>318</v>
      </c>
      <c r="B93" s="22" t="str">
        <f t="shared" ref="B93" si="117">CONCATENATE($I$4," ",I93,CHAR(10),CHAR(13),CHAR(10),CHAR(13),$H$4," ",H93)</f>
        <v>JENKINS_RESULT https://jenkins.werfen.com/job/Monthly%20Report/job/Production%20Environment/job/QA%20Transports/job/Deploy%20hotfix/?token=MonthlyReportHotfix
_x000D_
_x000D_JENKINS_TRANSPORT https://jenkins.werfen.com/job/Monthly%20Report/job/Production%20Environment/job/QA%20Transports/job/Deploy%20hotfix/buildWithParameters?token=MonthlyReportHotfix&amp;token2=</v>
      </c>
      <c r="C93" s="28" t="s">
        <v>326</v>
      </c>
      <c r="D93" s="28" t="s">
        <v>327</v>
      </c>
      <c r="E93" s="27" t="s">
        <v>36</v>
      </c>
      <c r="F93" s="28" t="s">
        <v>321</v>
      </c>
      <c r="G93" s="60" t="s">
        <v>328</v>
      </c>
      <c r="H93" s="34" t="str">
        <f t="shared" si="88"/>
        <v>https://jenkins.werfen.com/job/Monthly%20Report/job/Production%20Environment/job/QA%20Transports/job/Deploy%20hotfix/buildWithParameters?token=MonthlyReportHotfix&amp;token2=</v>
      </c>
      <c r="I93" s="34" t="str">
        <f t="shared" ref="I93" si="118">_xlfn.CONCAT("https://jenkins.werfen.com/",D93,"?token=",C93)</f>
        <v>https://jenkins.werfen.com/job/Monthly%20Report/job/Production%20Environment/job/QA%20Transports/job/Deploy%20hotfix/?token=MonthlyReportHotfix</v>
      </c>
      <c r="J93" s="16" t="s">
        <v>25</v>
      </c>
    </row>
    <row r="94" spans="1:10" s="17" customFormat="1" ht="109.35" customHeight="1">
      <c r="A94" s="55" t="s">
        <v>329</v>
      </c>
      <c r="B94" s="22" t="str">
        <f t="shared" ref="B94" si="119">CONCATENATE($I$4," ",I94,CHAR(10),CHAR(13),CHAR(10),CHAR(13),$H$4," ",H94)</f>
        <v>JENKINS_RESULT https://jenkins.werfen.com/job/myClaims/job/Production%20Environment/job/QA%20Transports/job/Deploy%20to%20prod/?token=myClaimsRelease
_x000D_
_x000D_JENKINS_TRANSPORT https://jenkins.werfen.com/job/myClaims/job/Production%20Environment/job/QA%20Transports/job/Deploy%20to%20prod/buildWithParameters?token=myClaimsRelease&amp;token2=</v>
      </c>
      <c r="C94" s="28" t="s">
        <v>330</v>
      </c>
      <c r="D94" s="28" t="s">
        <v>331</v>
      </c>
      <c r="E94" s="27" t="s">
        <v>36</v>
      </c>
      <c r="F94" s="28" t="s">
        <v>332</v>
      </c>
      <c r="G94" s="60" t="s">
        <v>333</v>
      </c>
      <c r="H94" s="34" t="str">
        <f t="shared" si="88"/>
        <v>https://jenkins.werfen.com/job/myClaims/job/Production%20Environment/job/QA%20Transports/job/Deploy%20to%20prod/buildWithParameters?token=myClaimsRelease&amp;token2=</v>
      </c>
      <c r="I94" s="34" t="str">
        <f t="shared" ref="I94" si="120">_xlfn.CONCAT("https://jenkins.werfen.com/",D94,"?token=",C94)</f>
        <v>https://jenkins.werfen.com/job/myClaims/job/Production%20Environment/job/QA%20Transports/job/Deploy%20to%20prod/?token=myClaimsRelease</v>
      </c>
      <c r="J94" s="16" t="s">
        <v>27</v>
      </c>
    </row>
    <row r="95" spans="1:10" s="17" customFormat="1" ht="109.35" customHeight="1">
      <c r="A95" s="55" t="s">
        <v>329</v>
      </c>
      <c r="B95" s="22" t="str">
        <f t="shared" ref="B95" si="121">CONCATENATE($I$4," ",I95,CHAR(10),CHAR(13),CHAR(10),CHAR(13),$H$4," ",H95)</f>
        <v>JENKINS_RESULT https://jenkins.werfen.com/job/myClaims/job/Production%20Environment/job/QA%20Transports/job/Deploy%20release/?token=myClaimsRelease1
_x000D_
_x000D_JENKINS_TRANSPORT https://jenkins.werfen.com/job/myClaims/job/Production%20Environment/job/QA%20Transports/job/Deploy%20release/buildWithParameters?token=myClaimsRelease1&amp;token2=</v>
      </c>
      <c r="C95" s="28" t="s">
        <v>334</v>
      </c>
      <c r="D95" s="28" t="s">
        <v>335</v>
      </c>
      <c r="E95" s="27" t="s">
        <v>36</v>
      </c>
      <c r="F95" s="28" t="s">
        <v>332</v>
      </c>
      <c r="G95" s="60" t="s">
        <v>336</v>
      </c>
      <c r="H95" s="34" t="str">
        <f t="shared" si="88"/>
        <v>https://jenkins.werfen.com/job/myClaims/job/Production%20Environment/job/QA%20Transports/job/Deploy%20release/buildWithParameters?token=myClaimsRelease1&amp;token2=</v>
      </c>
      <c r="I95" s="34" t="str">
        <f t="shared" ref="I95" si="122">_xlfn.CONCAT("https://jenkins.werfen.com/",D95,"?token=",C95)</f>
        <v>https://jenkins.werfen.com/job/myClaims/job/Production%20Environment/job/QA%20Transports/job/Deploy%20release/?token=myClaimsRelease1</v>
      </c>
      <c r="J95" s="16" t="s">
        <v>25</v>
      </c>
    </row>
    <row r="96" spans="1:10" s="17" customFormat="1" ht="109.35" customHeight="1">
      <c r="A96" s="55" t="s">
        <v>329</v>
      </c>
      <c r="B96" s="22" t="str">
        <f t="shared" ref="B96" si="123">CONCATENATE($I$4," ",I96,CHAR(10),CHAR(13),CHAR(10),CHAR(13),$H$4," ",H96)</f>
        <v>JENKINS_RESULT https://jenkins.werfen.com/job/myClaims/job/Production%20Environment/job/QA%20Transports/job/Deploy%20release/?token=myClaimsHotfix
_x000D_
_x000D_JENKINS_TRANSPORT https://jenkins.werfen.com/job/myClaims/job/Production%20Environment/job/QA%20Transports/job/Deploy%20release/buildWithParameters?token=myClaimsHotfix&amp;token2=</v>
      </c>
      <c r="C96" s="28" t="s">
        <v>337</v>
      </c>
      <c r="D96" s="28" t="s">
        <v>335</v>
      </c>
      <c r="E96" s="27" t="s">
        <v>36</v>
      </c>
      <c r="F96" s="28" t="s">
        <v>332</v>
      </c>
      <c r="G96" s="60" t="s">
        <v>338</v>
      </c>
      <c r="H96" s="34" t="str">
        <f t="shared" si="88"/>
        <v>https://jenkins.werfen.com/job/myClaims/job/Production%20Environment/job/QA%20Transports/job/Deploy%20release/buildWithParameters?token=myClaimsHotfix&amp;token2=</v>
      </c>
      <c r="I96" s="34" t="str">
        <f t="shared" ref="I96" si="124">_xlfn.CONCAT("https://jenkins.werfen.com/",D96,"?token=",C96)</f>
        <v>https://jenkins.werfen.com/job/myClaims/job/Production%20Environment/job/QA%20Transports/job/Deploy%20release/?token=myClaimsHotfix</v>
      </c>
      <c r="J96" s="16" t="s">
        <v>25</v>
      </c>
    </row>
    <row r="97" spans="1:10" s="17" customFormat="1" ht="109.35" customHeight="1">
      <c r="A97" s="55" t="s">
        <v>329</v>
      </c>
      <c r="B97" s="22" t="str">
        <f t="shared" ref="B97:B100" si="125">CONCATENATE($I$4," ",I97,CHAR(10),CHAR(13),CHAR(10),CHAR(13),$H$4," ",H97)</f>
        <v>JENKINS_RESULT https://jenkins.werfen.com/job/myClaims/job/Production%20Environment/job/QA%20Transports/job/Deploy%20to%20prod%20CN/?token=myClaimsCNRelease
_x000D_
_x000D_JENKINS_TRANSPORT https://jenkins.werfen.com/job/myClaims/job/Production%20Environment/job/QA%20Transports/job/Deploy%20to%20prod%20CN/buildWithParameters?token=myClaimsCNRelease&amp;token2=</v>
      </c>
      <c r="C97" s="28" t="s">
        <v>339</v>
      </c>
      <c r="D97" s="28" t="s">
        <v>340</v>
      </c>
      <c r="E97" s="27" t="s">
        <v>36</v>
      </c>
      <c r="F97" s="50" t="s">
        <v>341</v>
      </c>
      <c r="G97" s="60" t="s">
        <v>342</v>
      </c>
      <c r="H97" s="34" t="str">
        <f t="shared" si="88"/>
        <v>https://jenkins.werfen.com/job/myClaims/job/Production%20Environment/job/QA%20Transports/job/Deploy%20to%20prod%20CN/buildWithParameters?token=myClaimsCNRelease&amp;token2=</v>
      </c>
      <c r="I97" s="34" t="str">
        <f t="shared" ref="I97:I100" si="126">_xlfn.CONCAT("https://jenkins.werfen.com/",D97,"?token=",C97)</f>
        <v>https://jenkins.werfen.com/job/myClaims/job/Production%20Environment/job/QA%20Transports/job/Deploy%20to%20prod%20CN/?token=myClaimsCNRelease</v>
      </c>
      <c r="J97" s="16" t="s">
        <v>27</v>
      </c>
    </row>
    <row r="98" spans="1:10" s="17" customFormat="1" ht="109.35" customHeight="1">
      <c r="A98" s="55" t="s">
        <v>329</v>
      </c>
      <c r="B98" s="22" t="str">
        <f t="shared" ref="B98" si="127">CONCATENATE($I$4," ",I98,CHAR(10),CHAR(13),CHAR(10),CHAR(13),$H$4," ",H98)</f>
        <v>JENKINS_RESULT https://jenkins.werfen.com/job/myClaims/job/Production%20Environment/job/QA%20Transports/job/Deploy%20CN%20release/?token=myClaimsCNRelease1
_x000D_
_x000D_JENKINS_TRANSPORT https://jenkins.werfen.com/job/myClaims/job/Production%20Environment/job/QA%20Transports/job/Deploy%20CN%20release/buildWithParameters?token=myClaimsCNRelease1&amp;token2=</v>
      </c>
      <c r="C98" s="28" t="s">
        <v>343</v>
      </c>
      <c r="D98" s="28" t="s">
        <v>344</v>
      </c>
      <c r="E98" s="27" t="s">
        <v>36</v>
      </c>
      <c r="F98" s="50"/>
      <c r="G98" s="60" t="s">
        <v>345</v>
      </c>
      <c r="H98" s="34" t="str">
        <f t="shared" si="88"/>
        <v>https://jenkins.werfen.com/job/myClaims/job/Production%20Environment/job/QA%20Transports/job/Deploy%20CN%20release/buildWithParameters?token=myClaimsCNRelease1&amp;token2=</v>
      </c>
      <c r="I98" s="34" t="str">
        <f t="shared" ref="I98" si="128">_xlfn.CONCAT("https://jenkins.werfen.com/",D98,"?token=",C98)</f>
        <v>https://jenkins.werfen.com/job/myClaims/job/Production%20Environment/job/QA%20Transports/job/Deploy%20CN%20release/?token=myClaimsCNRelease1</v>
      </c>
      <c r="J98" s="16" t="s">
        <v>25</v>
      </c>
    </row>
    <row r="99" spans="1:10" s="17" customFormat="1" ht="109.35" customHeight="1">
      <c r="A99" s="55" t="s">
        <v>329</v>
      </c>
      <c r="B99" s="22" t="str">
        <f t="shared" ref="B99" si="129">CONCATENATE($I$4," ",I99,CHAR(10),CHAR(13),CHAR(10),CHAR(13),$H$4," ",H99)</f>
        <v>JENKINS_RESULT https://jenkins.werfen.com/job/myClaims/job/Production%20Environment/job/QA%20Transports/job/Deploy%20CN%20hotfix/?token=myClaimsCNHotfix
_x000D_
_x000D_JENKINS_TRANSPORT https://jenkins.werfen.com/job/myClaims/job/Production%20Environment/job/QA%20Transports/job/Deploy%20CN%20hotfix/buildWithParameters?token=myClaimsCNHotfix&amp;token2=</v>
      </c>
      <c r="C99" s="28" t="s">
        <v>346</v>
      </c>
      <c r="D99" s="28" t="s">
        <v>347</v>
      </c>
      <c r="E99" s="27" t="s">
        <v>36</v>
      </c>
      <c r="F99" s="50"/>
      <c r="G99" s="60" t="s">
        <v>348</v>
      </c>
      <c r="H99" s="34" t="str">
        <f t="shared" si="88"/>
        <v>https://jenkins.werfen.com/job/myClaims/job/Production%20Environment/job/QA%20Transports/job/Deploy%20CN%20hotfix/buildWithParameters?token=myClaimsCNHotfix&amp;token2=</v>
      </c>
      <c r="I99" s="34" t="str">
        <f t="shared" ref="I99" si="130">_xlfn.CONCAT("https://jenkins.werfen.com/",D99,"?token=",C99)</f>
        <v>https://jenkins.werfen.com/job/myClaims/job/Production%20Environment/job/QA%20Transports/job/Deploy%20CN%20hotfix/?token=myClaimsCNHotfix</v>
      </c>
      <c r="J99" s="16" t="s">
        <v>25</v>
      </c>
    </row>
    <row r="100" spans="1:10" s="17" customFormat="1" ht="109.35" customHeight="1">
      <c r="A100" s="55" t="s">
        <v>349</v>
      </c>
      <c r="B100" s="22" t="str">
        <f t="shared" si="125"/>
        <v>JENKINS_RESULT https://jenkins.werfen.com/job/myOrders/job/Production%20Environment/job/QA%20Transport/job/QA%20Transport/?token=myOrdersRelease
_x000D_
_x000D_JENKINS_TRANSPORT https://jenkins.werfen.com/job/myOrders/job/Production%20Environment/job/QA%20Transport/job/QA%20Transport/buildWithParameters?token=myOrdersRelease&amp;token2=</v>
      </c>
      <c r="C100" s="28" t="s">
        <v>350</v>
      </c>
      <c r="D100" s="28" t="s">
        <v>351</v>
      </c>
      <c r="E100" s="27" t="s">
        <v>36</v>
      </c>
      <c r="F100" s="50" t="s">
        <v>352</v>
      </c>
      <c r="G100" s="60" t="s">
        <v>353</v>
      </c>
      <c r="H100" s="34" t="str">
        <f t="shared" si="88"/>
        <v>https://jenkins.werfen.com/job/myOrders/job/Production%20Environment/job/QA%20Transport/job/QA%20Transport/buildWithParameters?token=myOrdersRelease&amp;token2=</v>
      </c>
      <c r="I100" s="34" t="str">
        <f t="shared" si="126"/>
        <v>https://jenkins.werfen.com/job/myOrders/job/Production%20Environment/job/QA%20Transport/job/QA%20Transport/?token=myOrdersRelease</v>
      </c>
      <c r="J100" s="16" t="s">
        <v>27</v>
      </c>
    </row>
    <row r="101" spans="1:10" s="17" customFormat="1" ht="109.35" customHeight="1">
      <c r="A101" s="55" t="s">
        <v>349</v>
      </c>
      <c r="B101" s="22" t="str">
        <f>CONCATENATE($I$4," ",I101,CHAR(10),CHAR(13),CHAR(10),CHAR(13),$H$4," ",H101)</f>
        <v>JENKINS_RESULT https://jenkins.werfen.com/job/myOrders/job/Production%20Environment/job/QA%20Transport/job/Deploy%20release/?token=myOrdersRelease1
_x000D_
_x000D_JENKINS_TRANSPORT https://jenkins.werfen.com/job/myOrders/job/Production%20Environment/job/QA%20Transport/job/Deploy%20release/buildWithParameters?token=myOrdersRelease1&amp;token2=</v>
      </c>
      <c r="C101" s="28" t="s">
        <v>354</v>
      </c>
      <c r="D101" s="28" t="s">
        <v>355</v>
      </c>
      <c r="E101" s="27" t="s">
        <v>36</v>
      </c>
      <c r="F101" s="50"/>
      <c r="G101" s="60" t="s">
        <v>356</v>
      </c>
      <c r="H101" s="34" t="str">
        <f t="shared" si="88"/>
        <v>https://jenkins.werfen.com/job/myOrders/job/Production%20Environment/job/QA%20Transport/job/Deploy%20release/buildWithParameters?token=myOrdersRelease1&amp;token2=</v>
      </c>
      <c r="I101" s="34" t="str">
        <f t="shared" ref="I101" si="131">_xlfn.CONCAT("https://jenkins.werfen.com/",D101,"?token=",C101)</f>
        <v>https://jenkins.werfen.com/job/myOrders/job/Production%20Environment/job/QA%20Transport/job/Deploy%20release/?token=myOrdersRelease1</v>
      </c>
      <c r="J101" s="16" t="s">
        <v>25</v>
      </c>
    </row>
    <row r="102" spans="1:10" s="17" customFormat="1" ht="109.35" customHeight="1">
      <c r="A102" s="55" t="s">
        <v>349</v>
      </c>
      <c r="B102" s="22" t="str">
        <f t="shared" ref="B102" si="132">CONCATENATE($I$4," ",I102,CHAR(10),CHAR(13),CHAR(10),CHAR(13),$H$4," ",H102)</f>
        <v>JENKINS_RESULT https://jenkins.werfen.com/job/myOrders/job/Production%20Environment/job/QA%20Transport/job/Deploy%20hotfix/?token=myOrdersHotfix
_x000D_
_x000D_JENKINS_TRANSPORT https://jenkins.werfen.com/job/myOrders/job/Production%20Environment/job/QA%20Transport/job/Deploy%20hotfix/buildWithParameters?token=myOrdersHotfix&amp;token2=</v>
      </c>
      <c r="C102" s="28" t="s">
        <v>357</v>
      </c>
      <c r="D102" s="28" t="s">
        <v>358</v>
      </c>
      <c r="E102" s="27" t="s">
        <v>36</v>
      </c>
      <c r="F102" s="50"/>
      <c r="G102" s="60" t="s">
        <v>359</v>
      </c>
      <c r="H102" s="34" t="str">
        <f t="shared" si="88"/>
        <v>https://jenkins.werfen.com/job/myOrders/job/Production%20Environment/job/QA%20Transport/job/Deploy%20hotfix/buildWithParameters?token=myOrdersHotfix&amp;token2=</v>
      </c>
      <c r="I102" s="34" t="str">
        <f t="shared" ref="I102:I104" si="133">_xlfn.CONCAT("https://jenkins.werfen.com/",D102,"?token=",C102)</f>
        <v>https://jenkins.werfen.com/job/myOrders/job/Production%20Environment/job/QA%20Transport/job/Deploy%20hotfix/?token=myOrdersHotfix</v>
      </c>
      <c r="J102" s="16" t="s">
        <v>25</v>
      </c>
    </row>
    <row r="103" spans="1:10" s="17" customFormat="1" ht="109.35" customHeight="1">
      <c r="A103" s="64" t="s">
        <v>349</v>
      </c>
      <c r="B103" s="22" t="str">
        <f>CONCATENATE($I$4," ",I103,CHAR(10),CHAR(13),CHAR(10),CHAR(13),$H$4," ",H103)</f>
        <v>JENKINS_RESULT https://jenkins.werfen.com/job/myOrders/job/Production%20Environment/job/QA%20Transport/job/Deploy%20to%20prod%20CN/?token=myOrdersCNRelease
_x000D_
_x000D_JENKINS_TRANSPORT https://jenkins.werfen.com/job/myOrders/job/Production%20Environment/job/QA%20Transport/job/Deploy%20to%20prod%20CN/buildWithParameters?token=myOrdersCNRelease&amp;token2=</v>
      </c>
      <c r="C103" s="28" t="s">
        <v>360</v>
      </c>
      <c r="D103" s="28" t="s">
        <v>361</v>
      </c>
      <c r="E103" s="27" t="s">
        <v>36</v>
      </c>
      <c r="F103" s="50"/>
      <c r="G103" s="60" t="s">
        <v>362</v>
      </c>
      <c r="H103" s="34" t="str">
        <f>CONCATENATE("https://jenkins.werfen.com/",D103,E103,"?token=",C103,"&amp;token2=")</f>
        <v>https://jenkins.werfen.com/job/myOrders/job/Production%20Environment/job/QA%20Transport/job/Deploy%20to%20prod%20CN/buildWithParameters?token=myOrdersCNRelease&amp;token2=</v>
      </c>
      <c r="I103" s="34" t="str">
        <f t="shared" si="133"/>
        <v>https://jenkins.werfen.com/job/myOrders/job/Production%20Environment/job/QA%20Transport/job/Deploy%20to%20prod%20CN/?token=myOrdersCNRelease</v>
      </c>
      <c r="J103" s="16"/>
    </row>
    <row r="104" spans="1:10" s="17" customFormat="1" ht="109.35" customHeight="1">
      <c r="A104" s="64" t="s">
        <v>349</v>
      </c>
      <c r="B104" s="22" t="str">
        <f>CONCATENATE($I$4," ",I104,CHAR(10),CHAR(13),CHAR(10),CHAR(13),$H$4," ",H104)</f>
        <v>JENKINS_RESULT https://jenkins.werfen.com/job/myOrders/job/Production%20Environment/job/QA%20Transport/job/Deploy%20to%20prod%20CN%20Hotfix/?token=myOrdersCNHotfix
_x000D_
_x000D_JENKINS_TRANSPORT https://jenkins.werfen.com/job/myOrders/job/Production%20Environment/job/QA%20Transport/job/Deploy%20to%20prod%20CN%20Hotfix/buildWithParameters?token=myOrdersCNHotfix&amp;token2=</v>
      </c>
      <c r="C104" s="28" t="s">
        <v>363</v>
      </c>
      <c r="D104" s="28" t="s">
        <v>364</v>
      </c>
      <c r="E104" s="27" t="s">
        <v>36</v>
      </c>
      <c r="F104" s="50"/>
      <c r="G104" s="60" t="s">
        <v>365</v>
      </c>
      <c r="H104" s="34" t="str">
        <f>CONCATENATE("https://jenkins.werfen.com/",D104,E104,"?token=",C104,"&amp;token2=")</f>
        <v>https://jenkins.werfen.com/job/myOrders/job/Production%20Environment/job/QA%20Transport/job/Deploy%20to%20prod%20CN%20Hotfix/buildWithParameters?token=myOrdersCNHotfix&amp;token2=</v>
      </c>
      <c r="I104" s="34" t="str">
        <f t="shared" si="133"/>
        <v>https://jenkins.werfen.com/job/myOrders/job/Production%20Environment/job/QA%20Transport/job/Deploy%20to%20prod%20CN%20Hotfix/?token=myOrdersCNHotfix</v>
      </c>
      <c r="J104" s="16"/>
    </row>
    <row r="105" spans="1:10" s="17" customFormat="1" ht="110.25">
      <c r="A105" s="55" t="s">
        <v>366</v>
      </c>
      <c r="B105" s="22" t="str">
        <f t="shared" ref="B105:B113" si="134">CONCATENATE($I$4," ",I105,CHAR(10),CHAR(13),CHAR(10),CHAR(13),$H$4," ",H105)</f>
        <v>JENKINS_RESULT https://jenkins.werfen.com/job/Tower/job/Production%20Environment/job/QA%20Transports/job/Tower/?token=WerfenTowerRelease
_x000D_
_x000D_JENKINS_TRANSPORT https://jenkins.werfen.com/job/Tower/job/Production%20Environment/job/QA%20Transports/job/Tower/build?token=WerfenTowerRelease&amp;token2=</v>
      </c>
      <c r="C105" s="28" t="s">
        <v>367</v>
      </c>
      <c r="D105" s="28" t="s">
        <v>368</v>
      </c>
      <c r="E105" s="28" t="s">
        <v>24</v>
      </c>
      <c r="F105" s="28" t="s">
        <v>369</v>
      </c>
      <c r="G105" s="60" t="s">
        <v>370</v>
      </c>
      <c r="H105" s="34" t="str">
        <f t="shared" si="88"/>
        <v>https://jenkins.werfen.com/job/Tower/job/Production%20Environment/job/QA%20Transports/job/Tower/build?token=WerfenTowerRelease&amp;token2=</v>
      </c>
      <c r="I105" s="34" t="str">
        <f t="shared" ref="I105:I113" si="135">_xlfn.CONCAT("https://jenkins.werfen.com/",D105,"?token=",C105)</f>
        <v>https://jenkins.werfen.com/job/Tower/job/Production%20Environment/job/QA%20Transports/job/Tower/?token=WerfenTowerRelease</v>
      </c>
      <c r="J105" s="16" t="s">
        <v>27</v>
      </c>
    </row>
    <row r="106" spans="1:10" s="17" customFormat="1" ht="110.25">
      <c r="A106" s="55" t="s">
        <v>366</v>
      </c>
      <c r="B106" s="22" t="str">
        <f t="shared" si="134"/>
        <v>JENKINS_RESULT https://jenkins.werfen.com/job/Tower/job/Production%20Environment/job/QA%20Transports/job/Deploy%20release/?token=WerfenTowerRelease1
_x000D_
_x000D_JENKINS_TRANSPORT https://jenkins.werfen.com/job/Tower/job/Production%20Environment/job/QA%20Transports/job/Deploy%20release/build?token=WerfenTowerRelease1&amp;token2=</v>
      </c>
      <c r="C106" s="28" t="s">
        <v>371</v>
      </c>
      <c r="D106" s="28" t="s">
        <v>372</v>
      </c>
      <c r="E106" s="28" t="s">
        <v>24</v>
      </c>
      <c r="F106" s="28"/>
      <c r="G106" s="60" t="s">
        <v>373</v>
      </c>
      <c r="H106" s="34" t="str">
        <f t="shared" si="88"/>
        <v>https://jenkins.werfen.com/job/Tower/job/Production%20Environment/job/QA%20Transports/job/Deploy%20release/build?token=WerfenTowerRelease1&amp;token2=</v>
      </c>
      <c r="I106" s="34" t="str">
        <f t="shared" si="135"/>
        <v>https://jenkins.werfen.com/job/Tower/job/Production%20Environment/job/QA%20Transports/job/Deploy%20release/?token=WerfenTowerRelease1</v>
      </c>
      <c r="J106" s="16" t="s">
        <v>25</v>
      </c>
    </row>
    <row r="107" spans="1:10" s="17" customFormat="1" ht="110.25">
      <c r="A107" s="55" t="s">
        <v>366</v>
      </c>
      <c r="B107" s="22" t="str">
        <f t="shared" si="134"/>
        <v>JENKINS_RESULT https://jenkins.werfen.com/job/Tower/job/Production%20Environment/job/QA%20Transports/job/Deploy%20hotfix/?token=WerfenTowerHotfix
_x000D_
_x000D_JENKINS_TRANSPORT https://jenkins.werfen.com/job/Tower/job/Production%20Environment/job/QA%20Transports/job/Deploy%20hotfix/build?token=WerfenTowerHotfix&amp;token2=</v>
      </c>
      <c r="C107" s="28" t="s">
        <v>374</v>
      </c>
      <c r="D107" s="28" t="s">
        <v>375</v>
      </c>
      <c r="E107" s="28" t="s">
        <v>24</v>
      </c>
      <c r="F107" s="28"/>
      <c r="G107" s="60" t="s">
        <v>376</v>
      </c>
      <c r="H107" s="34" t="str">
        <f t="shared" si="88"/>
        <v>https://jenkins.werfen.com/job/Tower/job/Production%20Environment/job/QA%20Transports/job/Deploy%20hotfix/build?token=WerfenTowerHotfix&amp;token2=</v>
      </c>
      <c r="I107" s="34" t="str">
        <f t="shared" si="135"/>
        <v>https://jenkins.werfen.com/job/Tower/job/Production%20Environment/job/QA%20Transports/job/Deploy%20hotfix/?token=WerfenTowerHotfix</v>
      </c>
      <c r="J107" s="16" t="s">
        <v>25</v>
      </c>
    </row>
    <row r="108" spans="1:10" s="17" customFormat="1" ht="110.25">
      <c r="A108" s="55" t="s">
        <v>377</v>
      </c>
      <c r="B108" s="22" t="str">
        <f t="shared" si="134"/>
        <v>JENKINS_RESULT https://jenkins.werfen.com/job/LMS/job/Production%20environment/job/QA%20Transports/job/WeLearn/?token=WeLearnRelease
_x000D_
_x000D_JENKINS_TRANSPORT https://jenkins.werfen.com/job/LMS/job/Production%20environment/job/QA%20Transports/job/WeLearn/buildWithParameters?token=WeLearnRelease&amp;token2=</v>
      </c>
      <c r="C108" s="28" t="s">
        <v>378</v>
      </c>
      <c r="D108" s="28" t="s">
        <v>379</v>
      </c>
      <c r="E108" s="27" t="s">
        <v>36</v>
      </c>
      <c r="F108" s="50" t="s">
        <v>380</v>
      </c>
      <c r="G108" s="60" t="s">
        <v>381</v>
      </c>
      <c r="H108" s="34" t="str">
        <f t="shared" si="88"/>
        <v>https://jenkins.werfen.com/job/LMS/job/Production%20environment/job/QA%20Transports/job/WeLearn/buildWithParameters?token=WeLearnRelease&amp;token2=</v>
      </c>
      <c r="I108" s="35" t="str">
        <f t="shared" si="135"/>
        <v>https://jenkins.werfen.com/job/LMS/job/Production%20environment/job/QA%20Transports/job/WeLearn/?token=WeLearnRelease</v>
      </c>
      <c r="J108" s="16" t="s">
        <v>27</v>
      </c>
    </row>
    <row r="109" spans="1:10" s="17" customFormat="1" ht="110.25">
      <c r="A109" s="55" t="s">
        <v>377</v>
      </c>
      <c r="B109" s="22" t="str">
        <f t="shared" si="134"/>
        <v>JENKINS_RESULT https://jenkins.werfen.com/job/LMS/job/Production%20environment/job/QA%20Transports/job/WeLearn%20release/?token=WeLearnRelease1
_x000D_
_x000D_JENKINS_TRANSPORT https://jenkins.werfen.com/job/LMS/job/Production%20environment/job/QA%20Transports/job/WeLearn%20release/buildWithParameters?token=WeLearnRelease1&amp;token2=</v>
      </c>
      <c r="C109" s="28" t="s">
        <v>382</v>
      </c>
      <c r="D109" s="28" t="s">
        <v>383</v>
      </c>
      <c r="E109" s="27" t="s">
        <v>36</v>
      </c>
      <c r="F109" s="50"/>
      <c r="G109" s="60" t="s">
        <v>384</v>
      </c>
      <c r="H109" s="34" t="str">
        <f t="shared" si="88"/>
        <v>https://jenkins.werfen.com/job/LMS/job/Production%20environment/job/QA%20Transports/job/WeLearn%20release/buildWithParameters?token=WeLearnRelease1&amp;token2=</v>
      </c>
      <c r="I109" s="35" t="str">
        <f t="shared" si="135"/>
        <v>https://jenkins.werfen.com/job/LMS/job/Production%20environment/job/QA%20Transports/job/WeLearn%20release/?token=WeLearnRelease1</v>
      </c>
      <c r="J109" s="16" t="s">
        <v>25</v>
      </c>
    </row>
    <row r="110" spans="1:10" s="17" customFormat="1" ht="110.25">
      <c r="A110" s="55" t="s">
        <v>377</v>
      </c>
      <c r="B110" s="22" t="str">
        <f t="shared" si="134"/>
        <v>JENKINS_RESULT https://jenkins.werfen.com/job/LMS/job/Production%20environment/job/QA%20Transports/job/WeLearn%20hotfix/?token=WeLearnHotfix
_x000D_
_x000D_JENKINS_TRANSPORT https://jenkins.werfen.com/job/LMS/job/Production%20environment/job/QA%20Transports/job/WeLearn%20hotfix/buildWithParameters?token=WeLearnHotfix&amp;token2=</v>
      </c>
      <c r="C110" s="28" t="s">
        <v>385</v>
      </c>
      <c r="D110" s="28" t="s">
        <v>386</v>
      </c>
      <c r="E110" s="27" t="s">
        <v>36</v>
      </c>
      <c r="F110" s="50"/>
      <c r="G110" s="60" t="s">
        <v>387</v>
      </c>
      <c r="H110" s="34" t="str">
        <f t="shared" si="88"/>
        <v>https://jenkins.werfen.com/job/LMS/job/Production%20environment/job/QA%20Transports/job/WeLearn%20hotfix/buildWithParameters?token=WeLearnHotfix&amp;token2=</v>
      </c>
      <c r="I110" s="35" t="str">
        <f t="shared" si="135"/>
        <v>https://jenkins.werfen.com/job/LMS/job/Production%20environment/job/QA%20Transports/job/WeLearn%20hotfix/?token=WeLearnHotfix</v>
      </c>
      <c r="J110" s="16" t="s">
        <v>25</v>
      </c>
    </row>
    <row r="111" spans="1:10" s="17" customFormat="1" ht="108" customHeight="1">
      <c r="A111" s="55" t="s">
        <v>388</v>
      </c>
      <c r="B111" s="22" t="str">
        <f t="shared" si="134"/>
        <v>JENKINS_RESULT https://jenkins.werfen.com/job/LMS/job/Production%20environment/job/QA%20Transports/job/Release%20job%20academy/?token=WerfenAcademyRelease
_x000D_
_x000D_JENKINS_TRANSPORT https://jenkins.werfen.com/job/LMS/job/Production%20environment/job/QA%20Transports/job/Release%20job%20academy/buildWithParameters?token=WerfenAcademyRelease&amp;token2=</v>
      </c>
      <c r="C111" s="28" t="s">
        <v>389</v>
      </c>
      <c r="D111" s="28" t="s">
        <v>390</v>
      </c>
      <c r="E111" s="27" t="s">
        <v>36</v>
      </c>
      <c r="F111" s="50" t="s">
        <v>391</v>
      </c>
      <c r="G111" s="61" t="s">
        <v>392</v>
      </c>
      <c r="H111" s="34" t="str">
        <f t="shared" si="88"/>
        <v>https://jenkins.werfen.com/job/LMS/job/Production%20environment/job/QA%20Transports/job/Release%20job%20academy/buildWithParameters?token=WerfenAcademyRelease&amp;token2=</v>
      </c>
      <c r="I111" s="35" t="str">
        <f t="shared" si="135"/>
        <v>https://jenkins.werfen.com/job/LMS/job/Production%20environment/job/QA%20Transports/job/Release%20job%20academy/?token=WerfenAcademyRelease</v>
      </c>
      <c r="J111" s="16" t="s">
        <v>27</v>
      </c>
    </row>
    <row r="112" spans="1:10" s="17" customFormat="1" ht="108" customHeight="1">
      <c r="A112" s="55" t="s">
        <v>388</v>
      </c>
      <c r="B112" s="22" t="str">
        <f t="shared" si="134"/>
        <v>JENKINS_RESULT https://jenkins.werfen.com/job/LMS/job/Production%20environment/job/QA%20Transports/job/Academy%20release/?token=WerfenAcademyRelease1
_x000D_
_x000D_JENKINS_TRANSPORT https://jenkins.werfen.com/job/LMS/job/Production%20environment/job/QA%20Transports/job/Academy%20release/buildWithParameters?token=WerfenAcademyRelease1&amp;token2=</v>
      </c>
      <c r="C112" s="28" t="s">
        <v>393</v>
      </c>
      <c r="D112" s="28" t="s">
        <v>394</v>
      </c>
      <c r="E112" s="27" t="s">
        <v>36</v>
      </c>
      <c r="F112" s="50"/>
      <c r="G112" s="61" t="s">
        <v>395</v>
      </c>
      <c r="H112" s="34" t="str">
        <f t="shared" si="88"/>
        <v>https://jenkins.werfen.com/job/LMS/job/Production%20environment/job/QA%20Transports/job/Academy%20release/buildWithParameters?token=WerfenAcademyRelease1&amp;token2=</v>
      </c>
      <c r="I112" s="35" t="str">
        <f t="shared" si="135"/>
        <v>https://jenkins.werfen.com/job/LMS/job/Production%20environment/job/QA%20Transports/job/Academy%20release/?token=WerfenAcademyRelease1</v>
      </c>
      <c r="J112" s="16" t="s">
        <v>25</v>
      </c>
    </row>
    <row r="113" spans="1:10" s="17" customFormat="1" ht="108" customHeight="1">
      <c r="A113" s="55" t="s">
        <v>388</v>
      </c>
      <c r="B113" s="22" t="str">
        <f t="shared" si="134"/>
        <v>JENKINS_RESULT https://jenkins.werfen.com/job/LMS/job/Production%20environment/job/QA%20Transports/job/Academy%20hotfix/?token=WerfenAcademyHotfix
_x000D_
_x000D_JENKINS_TRANSPORT https://jenkins.werfen.com/job/LMS/job/Production%20environment/job/QA%20Transports/job/Academy%20hotfix/buildWithParameters?token=WerfenAcademyHotfix&amp;token2=</v>
      </c>
      <c r="C113" s="28" t="s">
        <v>396</v>
      </c>
      <c r="D113" s="28" t="s">
        <v>397</v>
      </c>
      <c r="E113" s="27" t="s">
        <v>36</v>
      </c>
      <c r="F113" s="50"/>
      <c r="G113" s="61" t="s">
        <v>398</v>
      </c>
      <c r="H113" s="34" t="str">
        <f t="shared" si="88"/>
        <v>https://jenkins.werfen.com/job/LMS/job/Production%20environment/job/QA%20Transports/job/Academy%20hotfix/buildWithParameters?token=WerfenAcademyHotfix&amp;token2=</v>
      </c>
      <c r="I113" s="35" t="str">
        <f t="shared" si="135"/>
        <v>https://jenkins.werfen.com/job/LMS/job/Production%20environment/job/QA%20Transports/job/Academy%20hotfix/?token=WerfenAcademyHotfix</v>
      </c>
      <c r="J113" s="16" t="s">
        <v>25</v>
      </c>
    </row>
    <row r="114" spans="1:10" s="17" customFormat="1" ht="109.5" customHeight="1">
      <c r="A114" s="55" t="s">
        <v>388</v>
      </c>
      <c r="B114" s="22" t="str">
        <f t="shared" ref="B114" si="136">CONCATENATE($I$4," ",I114,CHAR(10),CHAR(13),CHAR(10),CHAR(13),$H$4," ",H114)</f>
        <v>JENKINS_RESULT https://jenkins.werfen.com/job/LMS/job/Production%20environment/job/QA%20Transports/job/Release%20job%20academy%20China/?token=WerfenAcademyChinaRelease
_x000D_
_x000D_JENKINS_TRANSPORT https://jenkins.werfen.com/job/LMS/job/Production%20environment/job/QA%20Transports/job/Release%20job%20academy%20China/buildWithParameters?token=WerfenAcademyChinaRelease&amp;token2=</v>
      </c>
      <c r="C114" s="28" t="s">
        <v>399</v>
      </c>
      <c r="D114" s="28" t="s">
        <v>400</v>
      </c>
      <c r="E114" s="27" t="s">
        <v>36</v>
      </c>
      <c r="F114" s="50" t="s">
        <v>401</v>
      </c>
      <c r="G114" s="61" t="s">
        <v>402</v>
      </c>
      <c r="H114" s="34" t="str">
        <f t="shared" si="88"/>
        <v>https://jenkins.werfen.com/job/LMS/job/Production%20environment/job/QA%20Transports/job/Release%20job%20academy%20China/buildWithParameters?token=WerfenAcademyChinaRelease&amp;token2=</v>
      </c>
      <c r="I114" s="35" t="str">
        <f t="shared" ref="I114" si="137">_xlfn.CONCAT("https://jenkins.werfen.com/",D114,"?token=",C114)</f>
        <v>https://jenkins.werfen.com/job/LMS/job/Production%20environment/job/QA%20Transports/job/Release%20job%20academy%20China/?token=WerfenAcademyChinaRelease</v>
      </c>
      <c r="J114" s="16" t="s">
        <v>27</v>
      </c>
    </row>
    <row r="115" spans="1:10" s="17" customFormat="1" ht="109.5" customHeight="1">
      <c r="A115" s="55" t="s">
        <v>388</v>
      </c>
      <c r="B115" s="22" t="str">
        <f t="shared" ref="B115" si="138">CONCATENATE($I$4," ",I115,CHAR(10),CHAR(13),CHAR(10),CHAR(13),$H$4," ",H115)</f>
        <v>JENKINS_RESULT https://jenkins.werfen.com/job/LMS/job/Production%20environment/job/QA%20Transports/job/Academy%20CN%20release/?token=WerfenAcademyChinaRelease1
_x000D_
_x000D_JENKINS_TRANSPORT https://jenkins.werfen.com/job/LMS/job/Production%20environment/job/QA%20Transports/job/Academy%20CN%20release/buildWithParameters?token=WerfenAcademyChinaRelease1&amp;token2=</v>
      </c>
      <c r="C115" s="28" t="s">
        <v>403</v>
      </c>
      <c r="D115" s="28" t="s">
        <v>404</v>
      </c>
      <c r="E115" s="27" t="s">
        <v>36</v>
      </c>
      <c r="F115" s="50"/>
      <c r="G115" s="61" t="s">
        <v>405</v>
      </c>
      <c r="H115" s="34" t="str">
        <f t="shared" si="88"/>
        <v>https://jenkins.werfen.com/job/LMS/job/Production%20environment/job/QA%20Transports/job/Academy%20CN%20release/buildWithParameters?token=WerfenAcademyChinaRelease1&amp;token2=</v>
      </c>
      <c r="I115" s="35" t="str">
        <f t="shared" ref="I115" si="139">_xlfn.CONCAT("https://jenkins.werfen.com/",D115,"?token=",C115)</f>
        <v>https://jenkins.werfen.com/job/LMS/job/Production%20environment/job/QA%20Transports/job/Academy%20CN%20release/?token=WerfenAcademyChinaRelease1</v>
      </c>
      <c r="J115" s="16" t="s">
        <v>25</v>
      </c>
    </row>
    <row r="116" spans="1:10" s="17" customFormat="1" ht="109.5" customHeight="1">
      <c r="A116" s="55" t="s">
        <v>388</v>
      </c>
      <c r="B116" s="22" t="str">
        <f t="shared" ref="B116" si="140">CONCATENATE($I$4," ",I116,CHAR(10),CHAR(13),CHAR(10),CHAR(13),$H$4," ",H116)</f>
        <v>JENKINS_RESULT https://jenkins.werfen.com/job/LMS/job/Production%20environment/job/QA%20Transports/job/Academy%20CN%20hotfix/?token=WerfenAcademyChinaHotfix
_x000D_
_x000D_JENKINS_TRANSPORT https://jenkins.werfen.com/job/LMS/job/Production%20environment/job/QA%20Transports/job/Academy%20CN%20hotfix/buildWithParameters?token=WerfenAcademyChinaHotfix&amp;token2=</v>
      </c>
      <c r="C116" s="28" t="s">
        <v>406</v>
      </c>
      <c r="D116" s="28" t="s">
        <v>407</v>
      </c>
      <c r="E116" s="27" t="s">
        <v>36</v>
      </c>
      <c r="F116" s="50"/>
      <c r="G116" s="61" t="s">
        <v>408</v>
      </c>
      <c r="H116" s="34" t="str">
        <f t="shared" si="88"/>
        <v>https://jenkins.werfen.com/job/LMS/job/Production%20environment/job/QA%20Transports/job/Academy%20CN%20hotfix/buildWithParameters?token=WerfenAcademyChinaHotfix&amp;token2=</v>
      </c>
      <c r="I116" s="35" t="str">
        <f t="shared" ref="I116" si="141">_xlfn.CONCAT("https://jenkins.werfen.com/",D116,"?token=",C116)</f>
        <v>https://jenkins.werfen.com/job/LMS/job/Production%20environment/job/QA%20Transports/job/Academy%20CN%20hotfix/?token=WerfenAcademyChinaHotfix</v>
      </c>
      <c r="J116" s="16" t="s">
        <v>25</v>
      </c>
    </row>
    <row r="117" spans="1:10" s="17" customFormat="1" ht="109.5" customHeight="1">
      <c r="A117" s="55" t="s">
        <v>388</v>
      </c>
      <c r="B117" s="22" t="str">
        <f t="shared" ref="B117" si="142">CONCATENATE($I$4," ",I117,CHAR(10),CHAR(13),CHAR(10),CHAR(13),$H$4," ",H117)</f>
        <v>JENKINS_RESULT https://jenkins.werfen.com/job/LMS/job/Production%20environment/job/QA%20Transports/job/Release%20job%20Dosi-fuser/?token=WerfenAcademyDosiFuserRelease
_x000D_
_x000D_JENKINS_TRANSPORT https://jenkins.werfen.com/job/LMS/job/Production%20environment/job/QA%20Transports/job/Release%20job%20Dosi-fuser/buildWithParameters?token=WerfenAcademyDosiFuserRelease&amp;token2=</v>
      </c>
      <c r="C117" s="28" t="s">
        <v>409</v>
      </c>
      <c r="D117" s="28" t="s">
        <v>410</v>
      </c>
      <c r="E117" s="27" t="s">
        <v>36</v>
      </c>
      <c r="F117" s="50" t="s">
        <v>411</v>
      </c>
      <c r="G117" s="61" t="s">
        <v>412</v>
      </c>
      <c r="H117" s="34" t="str">
        <f t="shared" si="88"/>
        <v>https://jenkins.werfen.com/job/LMS/job/Production%20environment/job/QA%20Transports/job/Release%20job%20Dosi-fuser/buildWithParameters?token=WerfenAcademyDosiFuserRelease&amp;token2=</v>
      </c>
      <c r="I117" s="35" t="str">
        <f t="shared" ref="I117" si="143">_xlfn.CONCAT("https://jenkins.werfen.com/",D117,"?token=",C117)</f>
        <v>https://jenkins.werfen.com/job/LMS/job/Production%20environment/job/QA%20Transports/job/Release%20job%20Dosi-fuser/?token=WerfenAcademyDosiFuserRelease</v>
      </c>
      <c r="J117" s="16" t="s">
        <v>27</v>
      </c>
    </row>
    <row r="118" spans="1:10" s="17" customFormat="1" ht="109.5" customHeight="1">
      <c r="A118" s="55" t="s">
        <v>388</v>
      </c>
      <c r="B118" s="22" t="str">
        <f t="shared" ref="B118" si="144">CONCATENATE($I$4," ",I118,CHAR(10),CHAR(13),CHAR(10),CHAR(13),$H$4," ",H118)</f>
        <v>JENKINS_RESULT https://jenkins.werfen.com/job/LMS/job/Production%20environment/job/QA%20Transports/job/Dosi-fuser%20release/?token=WerfenAcademyDosiFuserRelease1
_x000D_
_x000D_JENKINS_TRANSPORT https://jenkins.werfen.com/job/LMS/job/Production%20environment/job/QA%20Transports/job/Dosi-fuser%20release/buildWithParameters?token=WerfenAcademyDosiFuserRelease1&amp;token2=</v>
      </c>
      <c r="C118" s="28" t="s">
        <v>413</v>
      </c>
      <c r="D118" s="28" t="s">
        <v>414</v>
      </c>
      <c r="E118" s="27" t="s">
        <v>36</v>
      </c>
      <c r="F118" s="50"/>
      <c r="G118" s="61" t="s">
        <v>415</v>
      </c>
      <c r="H118" s="34" t="str">
        <f t="shared" si="88"/>
        <v>https://jenkins.werfen.com/job/LMS/job/Production%20environment/job/QA%20Transports/job/Dosi-fuser%20release/buildWithParameters?token=WerfenAcademyDosiFuserRelease1&amp;token2=</v>
      </c>
      <c r="I118" s="35" t="str">
        <f t="shared" ref="I118" si="145">_xlfn.CONCAT("https://jenkins.werfen.com/",D118,"?token=",C118)</f>
        <v>https://jenkins.werfen.com/job/LMS/job/Production%20environment/job/QA%20Transports/job/Dosi-fuser%20release/?token=WerfenAcademyDosiFuserRelease1</v>
      </c>
      <c r="J118" s="16" t="s">
        <v>25</v>
      </c>
    </row>
    <row r="119" spans="1:10" s="17" customFormat="1" ht="109.5" customHeight="1">
      <c r="A119" s="55" t="s">
        <v>388</v>
      </c>
      <c r="B119" s="22" t="str">
        <f t="shared" ref="B119" si="146">CONCATENATE($I$4," ",I119,CHAR(10),CHAR(13),CHAR(10),CHAR(13),$H$4," ",H119)</f>
        <v>JENKINS_RESULT https://jenkins.werfen.com/job/LMS/job/Production%20environment/job/QA%20Transports/job/Dosi-fuser%20hotfix/?token=WerfenAcademyDosiFuserHotfix
_x000D_
_x000D_JENKINS_TRANSPORT https://jenkins.werfen.com/job/LMS/job/Production%20environment/job/QA%20Transports/job/Dosi-fuser%20hotfix/buildWithParameters?token=WerfenAcademyDosiFuserHotfix&amp;token2=</v>
      </c>
      <c r="C119" s="28" t="s">
        <v>416</v>
      </c>
      <c r="D119" s="28" t="s">
        <v>417</v>
      </c>
      <c r="E119" s="27" t="s">
        <v>36</v>
      </c>
      <c r="F119" s="50"/>
      <c r="G119" s="61" t="s">
        <v>418</v>
      </c>
      <c r="H119" s="34" t="str">
        <f t="shared" si="88"/>
        <v>https://jenkins.werfen.com/job/LMS/job/Production%20environment/job/QA%20Transports/job/Dosi-fuser%20hotfix/buildWithParameters?token=WerfenAcademyDosiFuserHotfix&amp;token2=</v>
      </c>
      <c r="I119" s="35" t="str">
        <f t="shared" ref="I119" si="147">_xlfn.CONCAT("https://jenkins.werfen.com/",D119,"?token=",C119)</f>
        <v>https://jenkins.werfen.com/job/LMS/job/Production%20environment/job/QA%20Transports/job/Dosi-fuser%20hotfix/?token=WerfenAcademyDosiFuserHotfix</v>
      </c>
      <c r="J119" s="16" t="s">
        <v>25</v>
      </c>
    </row>
    <row r="120" spans="1:10" s="17" customFormat="1" ht="117.75" customHeight="1">
      <c r="A120" s="55" t="s">
        <v>419</v>
      </c>
      <c r="B120" s="38" t="str">
        <f t="shared" ref="B120:B133" si="148">CONCATENATE($I$4," ",I120,CHAR(10),CHAR(13),CHAR(10),CHAR(13),$H$4," ",H120)</f>
        <v>JENKINS_RESULT https://jenkins.werfen.com/job/Distributors%20Portal%20(E-business)/job/Production%20Environment/job/QA%20Transport/job/Distributors%20Portal%20Deploy/?token=DISTRIBUTORS_PORTAL_PRODUCTION_QA_TRANSPORT
_x000D_
_x000D_JENKINS_TRANSPORT https://jenkins.werfen.com/job/Distributors%20Portal%20(E-business)/job/Production%20Environment/job/QA%20Transport/job/Distributors%20Portal%20Deploy/build?token=DISTRIBUTORS_PORTAL_PRODUCTION_QA_TRANSPORT&amp;token2=</v>
      </c>
      <c r="C120" s="28" t="s">
        <v>420</v>
      </c>
      <c r="D120" s="28" t="s">
        <v>421</v>
      </c>
      <c r="E120" s="28" t="s">
        <v>24</v>
      </c>
      <c r="F120" s="28" t="s">
        <v>422</v>
      </c>
      <c r="G120" s="61" t="s">
        <v>423</v>
      </c>
      <c r="H120" s="34" t="str">
        <f t="shared" si="88"/>
        <v>https://jenkins.werfen.com/job/Distributors%20Portal%20(E-business)/job/Production%20Environment/job/QA%20Transport/job/Distributors%20Portal%20Deploy/build?token=DISTRIBUTORS_PORTAL_PRODUCTION_QA_TRANSPORT&amp;token2=</v>
      </c>
      <c r="I120" s="35" t="str">
        <f t="shared" ref="I120:I133" si="149">_xlfn.CONCAT("https://jenkins.werfen.com/",D120,"?token=",C120)</f>
        <v>https://jenkins.werfen.com/job/Distributors%20Portal%20(E-business)/job/Production%20Environment/job/QA%20Transport/job/Distributors%20Portal%20Deploy/?token=DISTRIBUTORS_PORTAL_PRODUCTION_QA_TRANSPORT</v>
      </c>
      <c r="J120" s="16" t="s">
        <v>27</v>
      </c>
    </row>
    <row r="121" spans="1:10" s="17" customFormat="1" ht="117.75" customHeight="1">
      <c r="A121" s="55" t="s">
        <v>419</v>
      </c>
      <c r="B121" s="38" t="str">
        <f t="shared" ref="B121" si="150">CONCATENATE($I$4," ",I121,CHAR(10),CHAR(13),CHAR(10),CHAR(13),$H$4," ",H121)</f>
        <v>JENKINS_RESULT https://jenkins.werfen.com/job/Distributors%20Portal%20(E-business)/job/Production%20Environment/job/QA%20Transport/job/Deploy%20release/?token=DISTRIBUTORS_PORTAL_PRODUCTION_QA_TRANSPORT1
_x000D_
_x000D_JENKINS_TRANSPORT https://jenkins.werfen.com/job/Distributors%20Portal%20(E-business)/job/Production%20Environment/job/QA%20Transport/job/Deploy%20release/build?token=DISTRIBUTORS_PORTAL_PRODUCTION_QA_TRANSPORT1&amp;token2=</v>
      </c>
      <c r="C121" s="28" t="s">
        <v>424</v>
      </c>
      <c r="D121" s="28" t="s">
        <v>425</v>
      </c>
      <c r="E121" s="28" t="s">
        <v>24</v>
      </c>
      <c r="F121" s="28"/>
      <c r="G121" s="61" t="s">
        <v>426</v>
      </c>
      <c r="H121" s="34" t="str">
        <f t="shared" si="88"/>
        <v>https://jenkins.werfen.com/job/Distributors%20Portal%20(E-business)/job/Production%20Environment/job/QA%20Transport/job/Deploy%20release/build?token=DISTRIBUTORS_PORTAL_PRODUCTION_QA_TRANSPORT1&amp;token2=</v>
      </c>
      <c r="I121" s="35" t="str">
        <f t="shared" ref="I121" si="151">_xlfn.CONCAT("https://jenkins.werfen.com/",D121,"?token=",C121)</f>
        <v>https://jenkins.werfen.com/job/Distributors%20Portal%20(E-business)/job/Production%20Environment/job/QA%20Transport/job/Deploy%20release/?token=DISTRIBUTORS_PORTAL_PRODUCTION_QA_TRANSPORT1</v>
      </c>
      <c r="J121" s="16" t="s">
        <v>25</v>
      </c>
    </row>
    <row r="122" spans="1:10" s="17" customFormat="1" ht="117.75" customHeight="1">
      <c r="A122" s="55" t="s">
        <v>419</v>
      </c>
      <c r="B122" s="38" t="str">
        <f t="shared" ref="B122" si="152">CONCATENATE($I$4," ",I122,CHAR(10),CHAR(13),CHAR(10),CHAR(13),$H$4," ",H122)</f>
        <v>JENKINS_RESULT https://jenkins.werfen.com/job/Distributors%20Portal%20(E-business)/job/Production%20Environment/job/QA%20Transport/job/Deploy%20hotfix/?token=DISTRIBUTORS_PORTAL_PRODUCTION_QA_TRANSPORT_HOTFIX
_x000D_
_x000D_JENKINS_TRANSPORT https://jenkins.werfen.com/job/Distributors%20Portal%20(E-business)/job/Production%20Environment/job/QA%20Transport/job/Deploy%20hotfix/build?token=DISTRIBUTORS_PORTAL_PRODUCTION_QA_TRANSPORT_HOTFIX&amp;token2=</v>
      </c>
      <c r="C122" s="28" t="s">
        <v>427</v>
      </c>
      <c r="D122" s="28" t="s">
        <v>428</v>
      </c>
      <c r="E122" s="28" t="s">
        <v>24</v>
      </c>
      <c r="F122" s="28"/>
      <c r="G122" s="61" t="s">
        <v>429</v>
      </c>
      <c r="H122" s="34" t="str">
        <f t="shared" si="88"/>
        <v>https://jenkins.werfen.com/job/Distributors%20Portal%20(E-business)/job/Production%20Environment/job/QA%20Transport/job/Deploy%20hotfix/build?token=DISTRIBUTORS_PORTAL_PRODUCTION_QA_TRANSPORT_HOTFIX&amp;token2=</v>
      </c>
      <c r="I122" s="35" t="str">
        <f t="shared" ref="I122" si="153">_xlfn.CONCAT("https://jenkins.werfen.com/",D122,"?token=",C122)</f>
        <v>https://jenkins.werfen.com/job/Distributors%20Portal%20(E-business)/job/Production%20Environment/job/QA%20Transport/job/Deploy%20hotfix/?token=DISTRIBUTORS_PORTAL_PRODUCTION_QA_TRANSPORT_HOTFIX</v>
      </c>
      <c r="J122" s="16" t="s">
        <v>25</v>
      </c>
    </row>
    <row r="123" spans="1:10" s="17" customFormat="1" ht="147" customHeight="1">
      <c r="A123" s="55" t="s">
        <v>430</v>
      </c>
      <c r="B123" s="38" t="str">
        <f t="shared" si="148"/>
        <v>JENKINS_RESULT https://jenkins.werfen.com/job/IVD%20Market%20Watch/job/Production%20Environment/job/QA%20Transports/job/IVD%20Market%20Watch/?token=IVDMarketWatchRelease
_x000D_
_x000D_JENKINS_TRANSPORT https://jenkins.werfen.com/job/IVD%20Market%20Watch/job/Production%20Environment/job/QA%20Transports/job/IVD%20Market%20Watch/buildWithParameters?token=IVDMarketWatchRelease&amp;token2=</v>
      </c>
      <c r="C123" s="28" t="s">
        <v>431</v>
      </c>
      <c r="D123" s="28" t="s">
        <v>432</v>
      </c>
      <c r="E123" s="27" t="s">
        <v>36</v>
      </c>
      <c r="F123" s="50" t="s">
        <v>433</v>
      </c>
      <c r="G123" s="61" t="s">
        <v>434</v>
      </c>
      <c r="H123" s="34" t="str">
        <f t="shared" si="88"/>
        <v>https://jenkins.werfen.com/job/IVD%20Market%20Watch/job/Production%20Environment/job/QA%20Transports/job/IVD%20Market%20Watch/buildWithParameters?token=IVDMarketWatchRelease&amp;token2=</v>
      </c>
      <c r="I123" s="35" t="str">
        <f t="shared" si="149"/>
        <v>https://jenkins.werfen.com/job/IVD%20Market%20Watch/job/Production%20Environment/job/QA%20Transports/job/IVD%20Market%20Watch/?token=IVDMarketWatchRelease</v>
      </c>
      <c r="J123" s="16" t="s">
        <v>27</v>
      </c>
    </row>
    <row r="124" spans="1:10" s="17" customFormat="1" ht="147" customHeight="1">
      <c r="A124" s="55" t="s">
        <v>430</v>
      </c>
      <c r="B124" s="38" t="str">
        <f t="shared" si="148"/>
        <v>JENKINS_RESULT https://jenkins.werfen.com/job/IVD%20Market%20Watch/job/Production%20Environment/job/QA%20Transports/job/Deploy%20release/?token=IVDMarketWatchRelease1
_x000D_
_x000D_JENKINS_TRANSPORT https://jenkins.werfen.com/job/IVD%20Market%20Watch/job/Production%20Environment/job/QA%20Transports/job/Deploy%20release/buildWithParameters?token=IVDMarketWatchRelease1&amp;token2=</v>
      </c>
      <c r="C124" s="28" t="s">
        <v>435</v>
      </c>
      <c r="D124" s="28" t="s">
        <v>436</v>
      </c>
      <c r="E124" s="27" t="s">
        <v>36</v>
      </c>
      <c r="F124" s="50"/>
      <c r="G124" s="61" t="s">
        <v>437</v>
      </c>
      <c r="H124" s="34" t="str">
        <f t="shared" si="88"/>
        <v>https://jenkins.werfen.com/job/IVD%20Market%20Watch/job/Production%20Environment/job/QA%20Transports/job/Deploy%20release/buildWithParameters?token=IVDMarketWatchRelease1&amp;token2=</v>
      </c>
      <c r="I124" s="35" t="str">
        <f t="shared" si="149"/>
        <v>https://jenkins.werfen.com/job/IVD%20Market%20Watch/job/Production%20Environment/job/QA%20Transports/job/Deploy%20release/?token=IVDMarketWatchRelease1</v>
      </c>
      <c r="J124" s="16" t="s">
        <v>25</v>
      </c>
    </row>
    <row r="125" spans="1:10" s="17" customFormat="1" ht="147" customHeight="1">
      <c r="A125" s="55" t="s">
        <v>430</v>
      </c>
      <c r="B125" s="38" t="str">
        <f t="shared" ref="B125" si="154">CONCATENATE($I$4," ",I125,CHAR(10),CHAR(13),CHAR(10),CHAR(13),$H$4," ",H125)</f>
        <v>JENKINS_RESULT https://jenkins.werfen.com/job/IVD%20Market%20Watch/job/Production%20Environment/job/QA%20Transports/job/Deploy%20hotfix/?token=IVDMarketWatchHotfix
_x000D_
_x000D_JENKINS_TRANSPORT https://jenkins.werfen.com/job/IVD%20Market%20Watch/job/Production%20Environment/job/QA%20Transports/job/Deploy%20hotfix/buildWithParameters?token=IVDMarketWatchHotfix&amp;token2=</v>
      </c>
      <c r="C125" s="28" t="s">
        <v>438</v>
      </c>
      <c r="D125" s="28" t="s">
        <v>439</v>
      </c>
      <c r="E125" s="27" t="s">
        <v>36</v>
      </c>
      <c r="F125" s="50"/>
      <c r="G125" s="61" t="s">
        <v>440</v>
      </c>
      <c r="H125" s="34" t="str">
        <f t="shared" si="88"/>
        <v>https://jenkins.werfen.com/job/IVD%20Market%20Watch/job/Production%20Environment/job/QA%20Transports/job/Deploy%20hotfix/buildWithParameters?token=IVDMarketWatchHotfix&amp;token2=</v>
      </c>
      <c r="I125" s="35" t="str">
        <f t="shared" ref="I125" si="155">_xlfn.CONCAT("https://jenkins.werfen.com/",D125,"?token=",C125)</f>
        <v>https://jenkins.werfen.com/job/IVD%20Market%20Watch/job/Production%20Environment/job/QA%20Transports/job/Deploy%20hotfix/?token=IVDMarketWatchHotfix</v>
      </c>
      <c r="J125" s="16" t="s">
        <v>25</v>
      </c>
    </row>
    <row r="126" spans="1:10" s="17" customFormat="1" ht="76.900000000000006" customHeight="1">
      <c r="A126" s="55" t="s">
        <v>441</v>
      </c>
      <c r="B126" s="18" t="str">
        <f t="shared" si="148"/>
        <v>JENKINS_RESULT https://jenkins.werfen.com/job/CustomersPortal/job/Production%20Environment/job/Customers%20Portal%20QA%20Transport/?token=CUSTOMER_PORTAL_PRODUCTION_QA_TRANSPORT
_x000D_
_x000D_JENKINS_TRANSPORT https://jenkins.werfen.com/job/CustomersPortal/job/Production%20Environment/job/Customers%20Portal%20QA%20Transport/build?token=CUSTOMER_PORTAL_PRODUCTION_QA_TRANSPORT&amp;token2=</v>
      </c>
      <c r="C126" s="28" t="s">
        <v>442</v>
      </c>
      <c r="D126" s="28" t="s">
        <v>443</v>
      </c>
      <c r="E126" s="28" t="s">
        <v>24</v>
      </c>
      <c r="F126" s="28" t="s">
        <v>444</v>
      </c>
      <c r="G126" s="61" t="s">
        <v>445</v>
      </c>
      <c r="H126" s="34" t="str">
        <f t="shared" si="88"/>
        <v>https://jenkins.werfen.com/job/CustomersPortal/job/Production%20Environment/job/Customers%20Portal%20QA%20Transport/build?token=CUSTOMER_PORTAL_PRODUCTION_QA_TRANSPORT&amp;token2=</v>
      </c>
      <c r="I126" s="35" t="str">
        <f t="shared" si="149"/>
        <v>https://jenkins.werfen.com/job/CustomersPortal/job/Production%20Environment/job/Customers%20Portal%20QA%20Transport/?token=CUSTOMER_PORTAL_PRODUCTION_QA_TRANSPORT</v>
      </c>
      <c r="J126" s="16" t="s">
        <v>27</v>
      </c>
    </row>
    <row r="127" spans="1:10" s="17" customFormat="1" ht="68.45" customHeight="1">
      <c r="A127" s="55" t="s">
        <v>441</v>
      </c>
      <c r="B127" s="18" t="str">
        <f t="shared" ref="B127" si="156">CONCATENATE($I$4," ",I127,CHAR(10),CHAR(13),CHAR(10),CHAR(13),$H$4," ",H127)</f>
        <v>JENKINS_RESULT https://jenkins.werfen.com/job/CustomersPortal/job/Production%20Environment/job/QA%20Transport/job/Deploy%20release/?token=CUSTOMER_PORTAL_PRODUCTION_QA_TRANSPORT1
_x000D_
_x000D_JENKINS_TRANSPORT https://jenkins.werfen.com/job/CustomersPortal/job/Production%20Environment/job/QA%20Transport/job/Deploy%20release/build?token=CUSTOMER_PORTAL_PRODUCTION_QA_TRANSPORT1&amp;token2=</v>
      </c>
      <c r="C127" s="28" t="s">
        <v>446</v>
      </c>
      <c r="D127" s="28" t="s">
        <v>447</v>
      </c>
      <c r="E127" s="28" t="s">
        <v>24</v>
      </c>
      <c r="F127" s="28"/>
      <c r="G127" s="61" t="s">
        <v>448</v>
      </c>
      <c r="H127" s="34" t="str">
        <f t="shared" si="88"/>
        <v>https://jenkins.werfen.com/job/CustomersPortal/job/Production%20Environment/job/QA%20Transport/job/Deploy%20release/build?token=CUSTOMER_PORTAL_PRODUCTION_QA_TRANSPORT1&amp;token2=</v>
      </c>
      <c r="I127" s="35" t="str">
        <f t="shared" ref="I127" si="157">_xlfn.CONCAT("https://jenkins.werfen.com/",D127,"?token=",C127)</f>
        <v>https://jenkins.werfen.com/job/CustomersPortal/job/Production%20Environment/job/QA%20Transport/job/Deploy%20release/?token=CUSTOMER_PORTAL_PRODUCTION_QA_TRANSPORT1</v>
      </c>
      <c r="J127" s="16" t="s">
        <v>25</v>
      </c>
    </row>
    <row r="128" spans="1:10" s="17" customFormat="1" ht="58.9" customHeight="1">
      <c r="A128" s="55" t="s">
        <v>441</v>
      </c>
      <c r="B128" s="18" t="str">
        <f t="shared" ref="B128" si="158">CONCATENATE($I$4," ",I128,CHAR(10),CHAR(13),CHAR(10),CHAR(13),$H$4," ",H128)</f>
        <v>JENKINS_RESULT https://jenkins.werfen.com/job/CustomersPortal/job/Production%20Environment/job/QA%20Transport/job/Deploy%20hotfix/?token=CUSTOMER_PORTAL_PRODUCTION_QA_TRANSPORT_HOTFIX
_x000D_
_x000D_JENKINS_TRANSPORT https://jenkins.werfen.com/job/CustomersPortal/job/Production%20Environment/job/QA%20Transport/job/Deploy%20hotfix/build?token=CUSTOMER_PORTAL_PRODUCTION_QA_TRANSPORT_HOTFIX&amp;token2=</v>
      </c>
      <c r="C128" s="28" t="s">
        <v>449</v>
      </c>
      <c r="D128" s="28" t="s">
        <v>450</v>
      </c>
      <c r="E128" s="28" t="s">
        <v>24</v>
      </c>
      <c r="F128" s="28"/>
      <c r="G128" s="61" t="s">
        <v>451</v>
      </c>
      <c r="H128" s="34" t="str">
        <f t="shared" si="88"/>
        <v>https://jenkins.werfen.com/job/CustomersPortal/job/Production%20Environment/job/QA%20Transport/job/Deploy%20hotfix/build?token=CUSTOMER_PORTAL_PRODUCTION_QA_TRANSPORT_HOTFIX&amp;token2=</v>
      </c>
      <c r="I128" s="35" t="str">
        <f t="shared" ref="I128" si="159">_xlfn.CONCAT("https://jenkins.werfen.com/",D128,"?token=",C128)</f>
        <v>https://jenkins.werfen.com/job/CustomersPortal/job/Production%20Environment/job/QA%20Transport/job/Deploy%20hotfix/?token=CUSTOMER_PORTAL_PRODUCTION_QA_TRANSPORT_HOTFIX</v>
      </c>
      <c r="J128" s="16" t="s">
        <v>25</v>
      </c>
    </row>
    <row r="129" spans="1:10" s="17" customFormat="1" ht="57" customHeight="1">
      <c r="A129" s="55" t="s">
        <v>452</v>
      </c>
      <c r="B129" s="18" t="str">
        <f t="shared" si="148"/>
        <v>JENKINS_RESULT https://jenkins.werfen.com/job/WerfenTouch/job/Backend/job/Production%20Enviroment/job/QA%20Transports/job/Deploy%20to%20prod/?token=WerfenTouchWebRelease
_x000D_
_x000D_JENKINS_TRANSPORT https://jenkins.werfen.com/job/WerfenTouch/job/Backend/job/Production%20Enviroment/job/QA%20Transports/job/Deploy%20to%20prod/buildWithParameters?token=WerfenTouchWebRelease&amp;token2=</v>
      </c>
      <c r="C129" s="28" t="s">
        <v>453</v>
      </c>
      <c r="D129" s="28" t="s">
        <v>454</v>
      </c>
      <c r="E129" s="27" t="s">
        <v>36</v>
      </c>
      <c r="F129" s="50" t="s">
        <v>455</v>
      </c>
      <c r="G129" s="61" t="s">
        <v>456</v>
      </c>
      <c r="H129" s="34" t="str">
        <f t="shared" si="88"/>
        <v>https://jenkins.werfen.com/job/WerfenTouch/job/Backend/job/Production%20Enviroment/job/QA%20Transports/job/Deploy%20to%20prod/buildWithParameters?token=WerfenTouchWebRelease&amp;token2=</v>
      </c>
      <c r="I129" s="35" t="str">
        <f t="shared" si="149"/>
        <v>https://jenkins.werfen.com/job/WerfenTouch/job/Backend/job/Production%20Enviroment/job/QA%20Transports/job/Deploy%20to%20prod/?token=WerfenTouchWebRelease</v>
      </c>
      <c r="J129" s="16" t="s">
        <v>27</v>
      </c>
    </row>
    <row r="130" spans="1:10" s="17" customFormat="1" ht="57" customHeight="1">
      <c r="A130" s="55" t="s">
        <v>452</v>
      </c>
      <c r="B130" s="18" t="str">
        <f t="shared" si="148"/>
        <v>JENKINS_RESULT https://jenkins.werfen.com/job/WerfenTouch/job/Backend/job/Production%20Enviroment/job/QA%20Transports/job/Deploy%20release/?token=WerfenTouchWebRelease1
_x000D_
_x000D_JENKINS_TRANSPORT https://jenkins.werfen.com/job/WerfenTouch/job/Backend/job/Production%20Enviroment/job/QA%20Transports/job/Deploy%20release/buildWithParameters?token=WerfenTouchWebRelease1&amp;token2=</v>
      </c>
      <c r="C130" s="28" t="s">
        <v>457</v>
      </c>
      <c r="D130" s="28" t="s">
        <v>458</v>
      </c>
      <c r="E130" s="27" t="s">
        <v>36</v>
      </c>
      <c r="F130" s="50"/>
      <c r="G130" s="61" t="s">
        <v>459</v>
      </c>
      <c r="H130" s="34" t="str">
        <f t="shared" si="88"/>
        <v>https://jenkins.werfen.com/job/WerfenTouch/job/Backend/job/Production%20Enviroment/job/QA%20Transports/job/Deploy%20release/buildWithParameters?token=WerfenTouchWebRelease1&amp;token2=</v>
      </c>
      <c r="I130" s="35" t="str">
        <f t="shared" si="149"/>
        <v>https://jenkins.werfen.com/job/WerfenTouch/job/Backend/job/Production%20Enviroment/job/QA%20Transports/job/Deploy%20release/?token=WerfenTouchWebRelease1</v>
      </c>
      <c r="J130" s="16" t="s">
        <v>25</v>
      </c>
    </row>
    <row r="131" spans="1:10" s="17" customFormat="1" ht="57" customHeight="1">
      <c r="A131" s="55" t="s">
        <v>452</v>
      </c>
      <c r="B131" s="18" t="str">
        <f t="shared" ref="B131" si="160">CONCATENATE($I$4," ",I131,CHAR(10),CHAR(13),CHAR(10),CHAR(13),$H$4," ",H131)</f>
        <v>JENKINS_RESULT https://jenkins.werfen.com/job/WerfenTouch/job/Backend/job/Production%20Enviroment/job/QA%20Transports/job/Deploy%20hotfix/?token=WerfenTouchWebHotfix
_x000D_
_x000D_JENKINS_TRANSPORT https://jenkins.werfen.com/job/WerfenTouch/job/Backend/job/Production%20Enviroment/job/QA%20Transports/job/Deploy%20hotfix/buildWithParameters?token=WerfenTouchWebHotfix&amp;token2=</v>
      </c>
      <c r="C131" s="28" t="s">
        <v>460</v>
      </c>
      <c r="D131" s="28" t="s">
        <v>461</v>
      </c>
      <c r="E131" s="27" t="s">
        <v>36</v>
      </c>
      <c r="F131" s="50"/>
      <c r="G131" s="61" t="s">
        <v>462</v>
      </c>
      <c r="H131" s="34" t="str">
        <f t="shared" si="88"/>
        <v>https://jenkins.werfen.com/job/WerfenTouch/job/Backend/job/Production%20Enviroment/job/QA%20Transports/job/Deploy%20hotfix/buildWithParameters?token=WerfenTouchWebHotfix&amp;token2=</v>
      </c>
      <c r="I131" s="35" t="str">
        <f t="shared" ref="I131" si="161">_xlfn.CONCAT("https://jenkins.werfen.com/",D131,"?token=",C131)</f>
        <v>https://jenkins.werfen.com/job/WerfenTouch/job/Backend/job/Production%20Enviroment/job/QA%20Transports/job/Deploy%20hotfix/?token=WerfenTouchWebHotfix</v>
      </c>
      <c r="J131" s="16" t="s">
        <v>25</v>
      </c>
    </row>
    <row r="132" spans="1:10" s="17" customFormat="1" ht="46.5" customHeight="1">
      <c r="A132" s="55" t="s">
        <v>452</v>
      </c>
      <c r="B132" s="18" t="str">
        <f t="shared" si="148"/>
        <v>JENKINS_RESULT https://jenkins.werfen.com/job/WerfenTouch/job/Production%20environment/job/Websites/job/QA%20Transports/job/WerfenTouch%20China/?token=WerfenTouchChinaWebRelease
_x000D_
_x000D_JENKINS_TRANSPORT https://jenkins.werfen.com/job/WerfenTouch/job/Production%20environment/job/Websites/job/QA%20Transports/job/WerfenTouch%20China/buildWithParameters?token=WerfenTouchChinaWebRelease&amp;token2=</v>
      </c>
      <c r="C132" s="28" t="s">
        <v>463</v>
      </c>
      <c r="D132" s="28" t="s">
        <v>464</v>
      </c>
      <c r="E132" s="27" t="s">
        <v>36</v>
      </c>
      <c r="F132" s="50" t="s">
        <v>465</v>
      </c>
      <c r="G132" s="60" t="s">
        <v>466</v>
      </c>
      <c r="H132" s="34" t="str">
        <f t="shared" si="88"/>
        <v>https://jenkins.werfen.com/job/WerfenTouch/job/Production%20environment/job/Websites/job/QA%20Transports/job/WerfenTouch%20China/buildWithParameters?token=WerfenTouchChinaWebRelease&amp;token2=</v>
      </c>
      <c r="I132" s="35" t="str">
        <f t="shared" si="149"/>
        <v>https://jenkins.werfen.com/job/WerfenTouch/job/Production%20environment/job/Websites/job/QA%20Transports/job/WerfenTouch%20China/?token=WerfenTouchChinaWebRelease</v>
      </c>
      <c r="J132" s="16" t="s">
        <v>27</v>
      </c>
    </row>
    <row r="133" spans="1:10" s="17" customFormat="1" ht="126">
      <c r="A133" s="55" t="s">
        <v>467</v>
      </c>
      <c r="B133" s="18" t="str">
        <f t="shared" si="148"/>
        <v>JENKINS_RESULT https://jenkins.werfen.com/job/AccrivaTickets/job/Production%20Environment/job/Accriva%20Tickets%20QA%20Transport/?token=ACCRIVA_TICKETS_PRODUCTION_QA_TRANSPORT
_x000D_
_x000D_JENKINS_TRANSPORT https://jenkins.werfen.com/job/AccrivaTickets/job/Production%20Environment/job/Accriva%20Tickets%20QA%20Transport/build?token=ACCRIVA_TICKETS_PRODUCTION_QA_TRANSPORT&amp;token2=</v>
      </c>
      <c r="C133" s="28" t="s">
        <v>468</v>
      </c>
      <c r="D133" s="28" t="s">
        <v>469</v>
      </c>
      <c r="E133" s="28" t="s">
        <v>24</v>
      </c>
      <c r="F133" s="28" t="s">
        <v>470</v>
      </c>
      <c r="G133" s="61" t="s">
        <v>471</v>
      </c>
      <c r="H133" s="34" t="str">
        <f t="shared" si="88"/>
        <v>https://jenkins.werfen.com/job/AccrivaTickets/job/Production%20Environment/job/Accriva%20Tickets%20QA%20Transport/build?token=ACCRIVA_TICKETS_PRODUCTION_QA_TRANSPORT&amp;token2=</v>
      </c>
      <c r="I133" s="35" t="str">
        <f t="shared" si="149"/>
        <v>https://jenkins.werfen.com/job/AccrivaTickets/job/Production%20Environment/job/Accriva%20Tickets%20QA%20Transport/?token=ACCRIVA_TICKETS_PRODUCTION_QA_TRANSPORT</v>
      </c>
      <c r="J133" s="16" t="s">
        <v>27</v>
      </c>
    </row>
    <row r="134" spans="1:10" s="17" customFormat="1" ht="126">
      <c r="A134" s="55" t="s">
        <v>467</v>
      </c>
      <c r="B134" s="18" t="str">
        <f t="shared" ref="B134" si="162">CONCATENATE($I$4," ",I134,CHAR(10),CHAR(13),CHAR(10),CHAR(13),$H$4," ",H134)</f>
        <v>JENKINS_RESULT https://jenkins.werfen.com/job/AccrivaTickets/job/Production%20Environment/job/QA%20Transports/job/Deploy%20release/?token=ACCRIVA_TICKETS_PRODUCTION_QA_TRANSPORT1
_x000D_
_x000D_JENKINS_TRANSPORT https://jenkins.werfen.com/job/AccrivaTickets/job/Production%20Environment/job/QA%20Transports/job/Deploy%20release/build?token=ACCRIVA_TICKETS_PRODUCTION_QA_TRANSPORT1&amp;token2=</v>
      </c>
      <c r="C134" s="28" t="s">
        <v>472</v>
      </c>
      <c r="D134" s="28" t="s">
        <v>473</v>
      </c>
      <c r="E134" s="28" t="s">
        <v>24</v>
      </c>
      <c r="F134" s="28"/>
      <c r="G134" s="61" t="s">
        <v>474</v>
      </c>
      <c r="H134" s="34" t="str">
        <f t="shared" si="88"/>
        <v>https://jenkins.werfen.com/job/AccrivaTickets/job/Production%20Environment/job/QA%20Transports/job/Deploy%20release/build?token=ACCRIVA_TICKETS_PRODUCTION_QA_TRANSPORT1&amp;token2=</v>
      </c>
      <c r="I134" s="35" t="str">
        <f t="shared" ref="I134" si="163">_xlfn.CONCAT("https://jenkins.werfen.com/",D134,"?token=",C134)</f>
        <v>https://jenkins.werfen.com/job/AccrivaTickets/job/Production%20Environment/job/QA%20Transports/job/Deploy%20release/?token=ACCRIVA_TICKETS_PRODUCTION_QA_TRANSPORT1</v>
      </c>
      <c r="J134" s="16" t="s">
        <v>25</v>
      </c>
    </row>
    <row r="135" spans="1:10" s="17" customFormat="1" ht="141.75">
      <c r="A135" s="55" t="s">
        <v>467</v>
      </c>
      <c r="B135" s="18" t="str">
        <f t="shared" ref="B135:B136" si="164">CONCATENATE($I$4," ",I135,CHAR(10),CHAR(13),CHAR(10),CHAR(13),$H$4," ",H135)</f>
        <v>JENKINS_RESULT https://jenkins.werfen.com/job/AccrivaTickets/job/Production%20Environment/job/QA%20Transports/job/Deploy%20hotfix/?token=ACCRIVA_TICKETS_PRODUCTION_QA_TRANSPORT_HOTFIX
_x000D_
_x000D_JENKINS_TRANSPORT https://jenkins.werfen.com/job/AccrivaTickets/job/Production%20Environment/job/QA%20Transports/job/Deploy%20hotfix/build?token=ACCRIVA_TICKETS_PRODUCTION_QA_TRANSPORT_HOTFIX&amp;token2=</v>
      </c>
      <c r="C135" s="28" t="s">
        <v>475</v>
      </c>
      <c r="D135" s="28" t="s">
        <v>476</v>
      </c>
      <c r="E135" s="28" t="s">
        <v>24</v>
      </c>
      <c r="F135" s="28"/>
      <c r="G135" s="61" t="s">
        <v>477</v>
      </c>
      <c r="H135" s="34" t="str">
        <f t="shared" si="88"/>
        <v>https://jenkins.werfen.com/job/AccrivaTickets/job/Production%20Environment/job/QA%20Transports/job/Deploy%20hotfix/build?token=ACCRIVA_TICKETS_PRODUCTION_QA_TRANSPORT_HOTFIX&amp;token2=</v>
      </c>
      <c r="I135" s="35" t="str">
        <f t="shared" ref="I135:I136" si="165">_xlfn.CONCAT("https://jenkins.werfen.com/",D135,"?token=",C135)</f>
        <v>https://jenkins.werfen.com/job/AccrivaTickets/job/Production%20Environment/job/QA%20Transports/job/Deploy%20hotfix/?token=ACCRIVA_TICKETS_PRODUCTION_QA_TRANSPORT_HOTFIX</v>
      </c>
      <c r="J135" s="16" t="s">
        <v>25</v>
      </c>
    </row>
    <row r="136" spans="1:10" s="17" customFormat="1" ht="126">
      <c r="A136" s="13" t="s">
        <v>21</v>
      </c>
      <c r="B136" s="18" t="str">
        <f t="shared" si="164"/>
        <v>JENKINS_RESULT https://jenkins.werfen.com/job/Werfen%20websites/job/Production%20environment/job/QA%20Transports/job/Middleware%20release/?token=WebsMiddlewareApp_Release
_x000D_
_x000D_JENKINS_TRANSPORT https://jenkins.werfen.com/job/Werfen%20websites/job/Production%20environment/job/QA%20Transports/job/Middleware%20release/buildWithParameters?token=WebsMiddlewareApp_Release&amp;token2=</v>
      </c>
      <c r="C136" s="28" t="s">
        <v>478</v>
      </c>
      <c r="D136" s="28" t="s">
        <v>479</v>
      </c>
      <c r="E136" s="27" t="s">
        <v>36</v>
      </c>
      <c r="F136" s="28"/>
      <c r="G136" s="60" t="s">
        <v>480</v>
      </c>
      <c r="H136" s="34" t="str">
        <f t="shared" si="88"/>
        <v>https://jenkins.werfen.com/job/Werfen%20websites/job/Production%20environment/job/QA%20Transports/job/Middleware%20release/buildWithParameters?token=WebsMiddlewareApp_Release&amp;token2=</v>
      </c>
      <c r="I136" s="15" t="str">
        <f t="shared" si="165"/>
        <v>https://jenkins.werfen.com/job/Werfen%20websites/job/Production%20environment/job/QA%20Transports/job/Middleware%20release/?token=WebsMiddlewareApp_Release</v>
      </c>
      <c r="J136" s="16" t="s">
        <v>25</v>
      </c>
    </row>
    <row r="137" spans="1:10" s="17" customFormat="1" ht="126">
      <c r="A137" s="13" t="s">
        <v>21</v>
      </c>
      <c r="B137" s="18" t="str">
        <f t="shared" ref="B137:B138" si="166">CONCATENATE($I$4," ",I137,CHAR(10),CHAR(13),CHAR(10),CHAR(13),$H$4," ",H137)</f>
        <v>JENKINS_RESULT https://jenkins.werfen.com/job/Werfen%20websites/job/Production%20environment/job/QA%20Transports/job/Middleware%20hotfix/?token=WebsMiddlewareApp_Hotfix
_x000D_
_x000D_JENKINS_TRANSPORT https://jenkins.werfen.com/job/Werfen%20websites/job/Production%20environment/job/QA%20Transports/job/Middleware%20hotfix/buildWithParameters?token=WebsMiddlewareApp_Hotfix&amp;token2=</v>
      </c>
      <c r="C137" s="28" t="s">
        <v>481</v>
      </c>
      <c r="D137" s="28" t="s">
        <v>482</v>
      </c>
      <c r="E137" s="27" t="s">
        <v>36</v>
      </c>
      <c r="F137" s="28"/>
      <c r="G137" s="60" t="s">
        <v>483</v>
      </c>
      <c r="H137" s="34" t="str">
        <f t="shared" si="88"/>
        <v>https://jenkins.werfen.com/job/Werfen%20websites/job/Production%20environment/job/QA%20Transports/job/Middleware%20hotfix/buildWithParameters?token=WebsMiddlewareApp_Hotfix&amp;token2=</v>
      </c>
      <c r="I137" s="15" t="str">
        <f>_xlfn.CONCAT("https://jenkins.werfen.com/",D137,"?token=",C137)</f>
        <v>https://jenkins.werfen.com/job/Werfen%20websites/job/Production%20environment/job/QA%20Transports/job/Middleware%20hotfix/?token=WebsMiddlewareApp_Hotfix</v>
      </c>
      <c r="J137" s="16" t="s">
        <v>25</v>
      </c>
    </row>
    <row r="138" spans="1:10" s="17" customFormat="1" ht="148.35" customHeight="1">
      <c r="A138" s="13" t="s">
        <v>292</v>
      </c>
      <c r="B138" s="22" t="str">
        <f t="shared" si="166"/>
        <v>JENKINS_RESULT https://jenkins.werfen.com/job/WerfenDocs/job/Production/job/QA%20Transports/job/Deploy%20hotfix/?token=WerfenDocs10Hotfix
_x000D_
_x000D_JENKINS_TRANSPORT https://jenkins.werfen.com/job/WerfenDocs/job/Production/job/QA%20Transports/job/Deploy%20hotfix/buildWithParameters?token=WerfenDocs10Hotfix&amp;token2=</v>
      </c>
      <c r="C138" s="28" t="s">
        <v>484</v>
      </c>
      <c r="D138" s="28" t="s">
        <v>485</v>
      </c>
      <c r="E138" s="28" t="s">
        <v>36</v>
      </c>
      <c r="F138" s="28"/>
      <c r="G138" s="60" t="s">
        <v>486</v>
      </c>
      <c r="H138" s="34" t="str">
        <f t="shared" si="88"/>
        <v>https://jenkins.werfen.com/job/WerfenDocs/job/Production/job/QA%20Transports/job/Deploy%20hotfix/buildWithParameters?token=WerfenDocs10Hotfix&amp;token2=</v>
      </c>
      <c r="I138" s="34" t="str">
        <f t="shared" ref="I138" si="167">_xlfn.CONCAT("https://jenkins.werfen.com/",D138,"?token=",C138)</f>
        <v>https://jenkins.werfen.com/job/WerfenDocs/job/Production/job/QA%20Transports/job/Deploy%20hotfix/?token=WerfenDocs10Hotfix</v>
      </c>
      <c r="J138" s="16" t="s">
        <v>25</v>
      </c>
    </row>
    <row r="139" spans="1:10" s="17" customFormat="1" ht="122.45" customHeight="1">
      <c r="A139" s="13" t="s">
        <v>292</v>
      </c>
      <c r="B139" s="22" t="str">
        <f>CONCATENATE($I$4," ",I139,CHAR(10),CHAR(13),CHAR(10),CHAR(13),$H$4," ",H139)</f>
        <v>JENKINS_RESULT https://jenkins.werfen.com/job/WerfenDocs/job/Production/job/QA%20Transports/job/Deploy%20release/?token=WerfenDocs10Release
_x000D_
_x000D_JENKINS_TRANSPORT https://jenkins.werfen.com/job/WerfenDocs/job/Production/job/QA%20Transports/job/Deploy%20release/buildWithParameters?token=WerfenDocs10Release&amp;token2=</v>
      </c>
      <c r="C139" s="28" t="s">
        <v>487</v>
      </c>
      <c r="D139" s="28" t="s">
        <v>488</v>
      </c>
      <c r="E139" s="28" t="s">
        <v>36</v>
      </c>
      <c r="F139" s="28"/>
      <c r="G139" s="60" t="s">
        <v>489</v>
      </c>
      <c r="H139" s="34" t="str">
        <f t="shared" ref="H139:H140" si="168">CONCATENATE("https://jenkins.werfen.com/",D139,E139,"?token=",C139,"&amp;token2=")</f>
        <v>https://jenkins.werfen.com/job/WerfenDocs/job/Production/job/QA%20Transports/job/Deploy%20release/buildWithParameters?token=WerfenDocs10Release&amp;token2=</v>
      </c>
      <c r="I139" s="34" t="str">
        <f t="shared" ref="I139:I140" si="169">_xlfn.CONCAT("https://jenkins.werfen.com/",D139,"?token=",C139)</f>
        <v>https://jenkins.werfen.com/job/WerfenDocs/job/Production/job/QA%20Transports/job/Deploy%20release/?token=WerfenDocs10Release</v>
      </c>
      <c r="J139" s="16" t="s">
        <v>25</v>
      </c>
    </row>
    <row r="140" spans="1:10" s="17" customFormat="1" ht="126">
      <c r="A140" s="13" t="s">
        <v>490</v>
      </c>
      <c r="B140" s="22" t="str">
        <f>CONCATENATE($I$4," ",I140,CHAR(10),CHAR(13),CHAR(10),CHAR(13),$H$4," ",H140)</f>
        <v>JENKINS_RESULT https://jenkins.werfen.com/job/Vendors%20Portal/job/Production%20environment/job/QA%20Transports/job/Deploy%20Legacy/?token=VendorsPortalRelease
_x000D_
_x000D_JENKINS_TRANSPORT https://jenkins.werfen.com/job/Vendors%20Portal/job/Production%20environment/job/QA%20Transports/job/Deploy%20Legacy/buildWithParameters?token=VendorsPortalRelease&amp;token2=</v>
      </c>
      <c r="C140" s="28" t="s">
        <v>491</v>
      </c>
      <c r="D140" s="28" t="s">
        <v>492</v>
      </c>
      <c r="E140" s="28" t="s">
        <v>36</v>
      </c>
      <c r="F140" s="28"/>
      <c r="G140" s="60" t="s">
        <v>493</v>
      </c>
      <c r="H140" s="15" t="str">
        <f t="shared" si="168"/>
        <v>https://jenkins.werfen.com/job/Vendors%20Portal/job/Production%20environment/job/QA%20Transports/job/Deploy%20Legacy/buildWithParameters?token=VendorsPortalRelease&amp;token2=</v>
      </c>
      <c r="I140" s="15" t="str">
        <f t="shared" si="169"/>
        <v>https://jenkins.werfen.com/job/Vendors%20Portal/job/Production%20environment/job/QA%20Transports/job/Deploy%20Legacy/?token=VendorsPortalRelease</v>
      </c>
      <c r="J140" s="16"/>
    </row>
    <row r="141" spans="1:10" s="17" customFormat="1" ht="126">
      <c r="A141" s="13" t="s">
        <v>490</v>
      </c>
      <c r="B141" s="22" t="str">
        <f>CONCATENATE($I$4," ",I141,CHAR(10),CHAR(13),CHAR(10),CHAR(13),$H$4," ",H141)</f>
        <v>JENKINS_RESULT https://jenkins.werfen.com/job/Vendors%20Portal/job/Production%20environment/job/QA%20Transports/job/Deploy%20Release/?token=VendorsPortalRelease1
_x000D_
_x000D_JENKINS_TRANSPORT https://jenkins.werfen.com/job/Vendors%20Portal/job/Production%20environment/job/QA%20Transports/job/Deploy%20Release/buildWithParameters?token=VendorsPortalRelease1&amp;token2=</v>
      </c>
      <c r="C141" s="28" t="s">
        <v>494</v>
      </c>
      <c r="D141" s="28" t="s">
        <v>495</v>
      </c>
      <c r="E141" s="28" t="s">
        <v>36</v>
      </c>
      <c r="F141" s="28"/>
      <c r="G141" s="60" t="s">
        <v>496</v>
      </c>
      <c r="H141" s="15" t="str">
        <f t="shared" ref="H141" si="170">CONCATENATE("https://jenkins.werfen.com/",D141,E141,"?token=",C141,"&amp;token2=")</f>
        <v>https://jenkins.werfen.com/job/Vendors%20Portal/job/Production%20environment/job/QA%20Transports/job/Deploy%20Release/buildWithParameters?token=VendorsPortalRelease1&amp;token2=</v>
      </c>
      <c r="I141" s="15" t="str">
        <f t="shared" ref="I141" si="171">_xlfn.CONCAT("https://jenkins.werfen.com/",D141,"?token=",C141)</f>
        <v>https://jenkins.werfen.com/job/Vendors%20Portal/job/Production%20environment/job/QA%20Transports/job/Deploy%20Release/?token=VendorsPortalRelease1</v>
      </c>
      <c r="J141" s="16" t="s">
        <v>25</v>
      </c>
    </row>
    <row r="142" spans="1:10" s="17" customFormat="1" ht="126">
      <c r="A142" s="13" t="s">
        <v>490</v>
      </c>
      <c r="B142" s="22" t="str">
        <f>CONCATENATE($I$4," ",I142,CHAR(10),CHAR(13),CHAR(10),CHAR(13),$H$4," ",H142)</f>
        <v>JENKINS_RESULT https://jenkins.werfen.com/job/Vendors%20Portal/job/Production%20environment/job/QA%20Transports/job/Deploy%20Hotfix/?token=VendorsPortalHotfix
_x000D_
_x000D_JENKINS_TRANSPORT https://jenkins.werfen.com/job/Vendors%20Portal/job/Production%20environment/job/QA%20Transports/job/Deploy%20Hotfix/buildWithParameters?token=VendorsPortalHotfix&amp;token2=</v>
      </c>
      <c r="C142" s="28" t="s">
        <v>497</v>
      </c>
      <c r="D142" s="28" t="s">
        <v>498</v>
      </c>
      <c r="E142" s="28" t="s">
        <v>36</v>
      </c>
      <c r="F142" s="28"/>
      <c r="G142" s="60" t="s">
        <v>499</v>
      </c>
      <c r="H142" s="15" t="str">
        <f t="shared" ref="H142" si="172">CONCATENATE("https://jenkins.werfen.com/",D142,E142,"?token=",C142,"&amp;token2=")</f>
        <v>https://jenkins.werfen.com/job/Vendors%20Portal/job/Production%20environment/job/QA%20Transports/job/Deploy%20Hotfix/buildWithParameters?token=VendorsPortalHotfix&amp;token2=</v>
      </c>
      <c r="I142" s="15" t="str">
        <f t="shared" ref="I142" si="173">_xlfn.CONCAT("https://jenkins.werfen.com/",D142,"?token=",C142)</f>
        <v>https://jenkins.werfen.com/job/Vendors%20Portal/job/Production%20environment/job/QA%20Transports/job/Deploy%20Hotfix/?token=VendorsPortalHotfix</v>
      </c>
      <c r="J142" s="16" t="s">
        <v>25</v>
      </c>
    </row>
    <row r="143" spans="1:10" s="17" customFormat="1">
      <c r="A143" s="13"/>
      <c r="B143" s="18"/>
      <c r="C143" s="28"/>
      <c r="D143" s="28"/>
      <c r="E143" s="28"/>
      <c r="F143" s="28"/>
      <c r="G143" s="60"/>
      <c r="H143" s="15"/>
      <c r="I143" s="15"/>
      <c r="J143" s="16"/>
    </row>
    <row r="144" spans="1:10" s="17" customFormat="1">
      <c r="A144" s="13"/>
      <c r="B144" s="18"/>
      <c r="C144" s="28"/>
      <c r="D144" s="28"/>
      <c r="E144" s="28"/>
      <c r="F144" s="28"/>
      <c r="G144" s="60"/>
      <c r="H144" s="15"/>
      <c r="I144" s="15"/>
      <c r="J144" s="16"/>
    </row>
    <row r="145" spans="1:10" s="17" customFormat="1">
      <c r="A145" s="13"/>
      <c r="B145" s="18"/>
      <c r="C145" s="28"/>
      <c r="D145" s="28"/>
      <c r="E145" s="28"/>
      <c r="F145" s="28"/>
      <c r="G145" s="60"/>
      <c r="H145" s="15"/>
      <c r="I145" s="15"/>
      <c r="J145" s="16"/>
    </row>
    <row r="146" spans="1:10" s="17" customFormat="1">
      <c r="A146" s="13"/>
      <c r="B146" s="18"/>
      <c r="C146" s="28"/>
      <c r="D146" s="28"/>
      <c r="E146" s="28"/>
      <c r="F146" s="28"/>
      <c r="G146" s="60"/>
      <c r="H146" s="15"/>
      <c r="I146" s="15"/>
      <c r="J146" s="16"/>
    </row>
    <row r="147" spans="1:10" s="17" customFormat="1">
      <c r="A147" s="13"/>
      <c r="B147" s="18"/>
      <c r="C147" s="28"/>
      <c r="D147" s="28"/>
      <c r="E147" s="28"/>
      <c r="F147" s="28"/>
      <c r="G147" s="60"/>
      <c r="H147" s="15"/>
      <c r="I147" s="15"/>
      <c r="J147" s="16"/>
    </row>
    <row r="148" spans="1:10" s="17" customFormat="1">
      <c r="A148" s="13"/>
      <c r="B148" s="18"/>
      <c r="C148" s="28"/>
      <c r="D148" s="28"/>
      <c r="E148" s="28"/>
      <c r="F148" s="28"/>
      <c r="G148" s="60"/>
      <c r="H148" s="15"/>
      <c r="I148" s="15"/>
      <c r="J148" s="16"/>
    </row>
    <row r="149" spans="1:10" s="17" customFormat="1">
      <c r="A149" s="13"/>
      <c r="B149" s="18"/>
      <c r="C149" s="28"/>
      <c r="D149" s="28"/>
      <c r="E149" s="28"/>
      <c r="F149" s="28"/>
      <c r="G149" s="60"/>
      <c r="H149" s="15"/>
      <c r="I149" s="15"/>
      <c r="J149" s="16"/>
    </row>
    <row r="150" spans="1:10" s="17" customFormat="1">
      <c r="A150" s="13"/>
      <c r="B150" s="18"/>
      <c r="C150" s="28"/>
      <c r="D150" s="28"/>
      <c r="E150" s="28"/>
      <c r="F150" s="28"/>
      <c r="G150" s="60"/>
      <c r="H150" s="15"/>
      <c r="I150" s="15"/>
      <c r="J150" s="16"/>
    </row>
  </sheetData>
  <autoFilter ref="A4:J142" xr:uid="{7961D7A3-B0E8-471B-B489-89BD91E2F655}"/>
  <pageMargins left="0.7" right="0.7" top="0.75" bottom="0.75" header="0.3" footer="0.3"/>
  <pageSetup paperSize="9" orientation="portrait" r:id="rId1"/>
  <headerFooter>
    <oddFooter>&amp;C_x000D_&amp;1#&amp;"Calibri"&amp;8&amp;K000000           © Werfen All rights reserved. Confidential. For internal use only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631F6-916C-47D9-8837-6E76E547CECB}">
  <dimension ref="A1:F62"/>
  <sheetViews>
    <sheetView tabSelected="1" zoomScale="130" zoomScaleNormal="130" workbookViewId="0">
      <pane ySplit="1" topLeftCell="A31" activePane="bottomLeft" state="frozen"/>
      <selection pane="bottomLeft" activeCell="C33" sqref="C33"/>
    </sheetView>
  </sheetViews>
  <sheetFormatPr defaultColWidth="10.75" defaultRowHeight="15.75"/>
  <cols>
    <col min="1" max="1" width="15.125" style="7" bestFit="1" customWidth="1"/>
    <col min="2" max="2" width="24.75" style="8" bestFit="1" customWidth="1"/>
    <col min="3" max="3" width="72.25" style="10" customWidth="1"/>
    <col min="4" max="4" width="74.125" style="10" hidden="1" customWidth="1"/>
    <col min="5" max="5" width="38.375" style="10" bestFit="1" customWidth="1"/>
    <col min="6" max="6" width="10.25" style="48" bestFit="1" customWidth="1"/>
    <col min="7" max="16384" width="10.75" style="1"/>
  </cols>
  <sheetData>
    <row r="1" spans="1:6" s="12" customFormat="1" ht="17.25" customHeight="1" thickBot="1">
      <c r="A1" s="39" t="s">
        <v>500</v>
      </c>
      <c r="B1" s="24" t="s">
        <v>501</v>
      </c>
      <c r="C1" s="25" t="s">
        <v>502</v>
      </c>
      <c r="D1" s="33" t="s">
        <v>503</v>
      </c>
      <c r="E1" s="33" t="s">
        <v>504</v>
      </c>
      <c r="F1" s="45" t="s">
        <v>505</v>
      </c>
    </row>
    <row r="2" spans="1:6" s="43" customFormat="1" ht="47.25">
      <c r="A2" s="41" t="str">
        <f>Transports!F5</f>
        <v>1</v>
      </c>
      <c r="B2" s="41" t="str">
        <f>Transports!$G5</f>
        <v>All werfen  sites legacy</v>
      </c>
      <c r="C2" s="42" t="str">
        <f>CONCATENATE("https://jenkins.werfen.com/",Transports!$D5,Transports!$E5,"?token=",Transports!$C5,"&amp;token2=")</f>
        <v>https://jenkins.werfen.com/job/Werfen%20websites/job/Production%20environment/job/QA%20Transports/job/All%20werfen.com%20sites/build?token=WerfenALLRelease&amp;token2=</v>
      </c>
      <c r="D2" s="42" t="str">
        <f>_xlfn.CONCAT("https://jenkins.werfen.com/",Transports!$D5,"?token=",Transports!$C5)</f>
        <v>https://jenkins.werfen.com/job/Werfen%20websites/job/Production%20environment/job/QA%20Transports/job/All%20werfen.com%20sites/?token=WerfenALLRelease</v>
      </c>
      <c r="E2" s="44" t="str">
        <f>Transports!$C$2</f>
        <v>11670cc89254539b7527b5113a68e6edb6</v>
      </c>
      <c r="F2" s="46">
        <f>Transports!$D$3</f>
        <v>45962</v>
      </c>
    </row>
    <row r="3" spans="1:6" s="43" customFormat="1" ht="52.9" customHeight="1">
      <c r="A3" s="41" t="str">
        <f>Transports!F8</f>
        <v>8</v>
      </c>
      <c r="B3" s="41" t="str">
        <f>Transports!$G8</f>
        <v>Website Czechia legacy</v>
      </c>
      <c r="C3" s="42" t="str">
        <f>CONCATENATE("https://jenkins.werfen.com/",Transports!$D8,Transports!$E8,"?token=",Transports!$C8,"&amp;token2=")</f>
        <v>https://jenkins.werfen.com/job/Werfen%20websites/job/Production%20environment/job/QA%20Transports/job/Werfen%20CZ/buildWithParameters?token=WerfenCZRelease&amp;token2=</v>
      </c>
      <c r="D3" s="42" t="str">
        <f>_xlfn.CONCAT("https://jenkins.werfen.com/",Transports!$D8,"?token=",Transports!$C8)</f>
        <v>https://jenkins.werfen.com/job/Werfen%20websites/job/Production%20environment/job/QA%20Transports/job/Werfen%20CZ/?token=WerfenCZRelease</v>
      </c>
      <c r="E3" s="44" t="str">
        <f>Transports!$C$2</f>
        <v>11670cc89254539b7527b5113a68e6edb6</v>
      </c>
      <c r="F3" s="46">
        <f>Transports!$D$3</f>
        <v>45962</v>
      </c>
    </row>
    <row r="4" spans="1:6" s="43" customFormat="1" ht="52.35" customHeight="1">
      <c r="A4" s="41" t="str">
        <f>Transports!F11</f>
        <v>22</v>
      </c>
      <c r="B4" s="41" t="str">
        <f>Transports!$G11</f>
        <v>Website Russia legacy</v>
      </c>
      <c r="C4" s="42" t="str">
        <f>CONCATENATE("https://jenkins.werfen.com/",Transports!$D11,Transports!$E11,"?token=",Transports!$C11,"&amp;token2=")</f>
        <v>https://jenkins.werfen.com/job/Werfen%20websites/job/Production%20environment/job/QA%20Transports/job/Werfen%20RU/buildWithParameters?token=WerfenRURelease&amp;token2=</v>
      </c>
      <c r="D4" s="42" t="str">
        <f>_xlfn.CONCAT("https://jenkins.werfen.com/",Transports!$D11,"?token=",Transports!$C11)</f>
        <v>https://jenkins.werfen.com/job/Werfen%20websites/job/Production%20environment/job/QA%20Transports/job/Werfen%20RU/?token=WerfenRURelease</v>
      </c>
      <c r="E4" s="44" t="str">
        <f>Transports!$C$2</f>
        <v>11670cc89254539b7527b5113a68e6edb6</v>
      </c>
      <c r="F4" s="46">
        <f>Transports!$D$3</f>
        <v>45962</v>
      </c>
    </row>
    <row r="5" spans="1:6" s="43" customFormat="1" ht="49.9" customHeight="1">
      <c r="A5" s="41" t="str">
        <f>Transports!F14</f>
        <v>4</v>
      </c>
      <c r="B5" s="41" t="str">
        <f>Transports!$G14</f>
        <v>Website AUSTRALIA legacy</v>
      </c>
      <c r="C5" s="42" t="str">
        <f>CONCATENATE("https://jenkins.werfen.com/",Transports!$D14,Transports!$E14,"?token=",Transports!$C14,"&amp;token2=")</f>
        <v>https://jenkins.werfen.com/job/Werfen%20websites/job/Production%20environment/job/QA%20Transports/job/Werfen%20AU/buildWithParameters?token=WerfenAURelease&amp;token2=</v>
      </c>
      <c r="D5" s="42" t="str">
        <f>_xlfn.CONCAT("https://jenkins.werfen.com/",Transports!$D14,"?token=",Transports!$C14)</f>
        <v>https://jenkins.werfen.com/job/Werfen%20websites/job/Production%20environment/job/QA%20Transports/job/Werfen%20AU/?token=WerfenAURelease</v>
      </c>
      <c r="E5" s="44" t="str">
        <f>Transports!$C$2</f>
        <v>11670cc89254539b7527b5113a68e6edb6</v>
      </c>
      <c r="F5" s="46">
        <f>Transports!$D$3</f>
        <v>45962</v>
      </c>
    </row>
    <row r="6" spans="1:6" s="43" customFormat="1" ht="36.6" customHeight="1">
      <c r="A6" s="41" t="str">
        <f>Transports!F17</f>
        <v>28</v>
      </c>
      <c r="B6" s="41" t="str">
        <f>Transports!$G17</f>
        <v>WeListen legacy</v>
      </c>
      <c r="C6" s="42" t="str">
        <f>CONCATENATE("https://jenkins.werfen.com/",Transports!$D17,Transports!$E17,"?token=",Transports!$C17,"&amp;token2=")</f>
        <v>https://jenkins.werfen.com/job/WeListen/job/Production%20environment/job/QA%20Transports/job/Deploy%20site/buildWithParameters?token=welistenRelease&amp;token2=</v>
      </c>
      <c r="D6" s="42" t="str">
        <f>_xlfn.CONCAT("https://jenkins.werfen.com/",Transports!$D17,"?token=",Transports!$C17)</f>
        <v>https://jenkins.werfen.com/job/WeListen/job/Production%20environment/job/QA%20Transports/job/Deploy%20site/?token=welistenRelease</v>
      </c>
      <c r="E6" s="44" t="str">
        <f>Transports!$C$2</f>
        <v>11670cc89254539b7527b5113a68e6edb6</v>
      </c>
      <c r="F6" s="46">
        <f>Transports!$D$3</f>
        <v>45962</v>
      </c>
    </row>
    <row r="7" spans="1:6" s="43" customFormat="1" ht="47.25">
      <c r="A7" s="41" t="str">
        <f>Transports!F20</f>
        <v>9</v>
      </c>
      <c r="B7" s="41" t="str">
        <f>Transports!$G20</f>
        <v>Website FRANCE legacy</v>
      </c>
      <c r="C7" s="42" t="str">
        <f>CONCATENATE("https://jenkins.werfen.com/",Transports!$D20,Transports!$E20,"?token=",Transports!$C20,"&amp;token2=")</f>
        <v>https://jenkins.werfen.com/job/Werfen%20websites/job/Production%20environment/job/QA%20Transports/job/Werfen%20FR/buildWithParameters?token=WerfenFRRelease&amp;token2=</v>
      </c>
      <c r="D7" s="42" t="str">
        <f>_xlfn.CONCAT("https://jenkins.werfen.com/",Transports!$D20,"?token=",Transports!$C20)</f>
        <v>https://jenkins.werfen.com/job/Werfen%20websites/job/Production%20environment/job/QA%20Transports/job/Werfen%20FR/?token=WerfenFRRelease</v>
      </c>
      <c r="E7" s="44" t="str">
        <f>Transports!$C$2</f>
        <v>11670cc89254539b7527b5113a68e6edb6</v>
      </c>
      <c r="F7" s="46">
        <f>Transports!$D$3</f>
        <v>45962</v>
      </c>
    </row>
    <row r="8" spans="1:6" s="43" customFormat="1" ht="47.25">
      <c r="A8" s="41">
        <f>Transports!F24</f>
        <v>0</v>
      </c>
      <c r="B8" s="41" t="str">
        <f>Transports!$G24</f>
        <v>Website Italy release</v>
      </c>
      <c r="C8" s="42" t="str">
        <f>CONCATENATE("https://jenkins.werfen.com/",Transports!$D24,Transports!$E24,"?token=",Transports!$C24,"&amp;token2=")</f>
        <v>https://jenkins.werfen.com/job/Werfen%20websites/job/Production%20environment/job/QA%20Transports/job/Werfen%20IT%20release/buildWithParameters?token=WerfenITRelease1&amp;token2=</v>
      </c>
      <c r="D8" s="42" t="str">
        <f>_xlfn.CONCAT("https://jenkins.werfen.com/",Transports!$D24,"?token=",Transports!$C24)</f>
        <v>https://jenkins.werfen.com/job/Werfen%20websites/job/Production%20environment/job/QA%20Transports/job/Werfen%20IT%20release/?token=WerfenITRelease1</v>
      </c>
      <c r="E8" s="44" t="str">
        <f>Transports!$C$2</f>
        <v>11670cc89254539b7527b5113a68e6edb6</v>
      </c>
      <c r="F8" s="46">
        <f>Transports!$D$3</f>
        <v>45962</v>
      </c>
    </row>
    <row r="9" spans="1:6" s="43" customFormat="1" ht="36" customHeight="1">
      <c r="A9" s="41" t="str">
        <f>Transports!F26</f>
        <v>24</v>
      </c>
      <c r="B9" s="41" t="str">
        <f>Transports!$G26</f>
        <v>Website UK legacy</v>
      </c>
      <c r="C9" s="42" t="str">
        <f>CONCATENATE("https://jenkins.werfen.com/",Transports!$D26,Transports!$E26,"?token=",Transports!$C26,"&amp;token2=")</f>
        <v>https://jenkins.werfen.com/job/Werfen%20websites/job/Production%20environment/job/QA%20Transports/job/Werfen%20UK/buildWithParameters?token=WerfenUKRelease&amp;token2=</v>
      </c>
      <c r="D9" s="42" t="str">
        <f>_xlfn.CONCAT("https://jenkins.werfen.com/",Transports!$D26,"?token=",Transports!$C26)</f>
        <v>https://jenkins.werfen.com/job/Werfen%20websites/job/Production%20environment/job/QA%20Transports/job/Werfen%20UK/?token=WerfenUKRelease</v>
      </c>
      <c r="E9" s="44" t="str">
        <f>Transports!$C$2</f>
        <v>11670cc89254539b7527b5113a68e6edb6</v>
      </c>
      <c r="F9" s="46">
        <f>Transports!$D$3</f>
        <v>45962</v>
      </c>
    </row>
    <row r="10" spans="1:6" s="43" customFormat="1" ht="36" customHeight="1">
      <c r="A10" s="41" t="str">
        <f>Transports!F29</f>
        <v>2</v>
      </c>
      <c r="B10" s="41" t="str">
        <f>Transports!$G29</f>
        <v>Website Corporate legacy</v>
      </c>
      <c r="C10" s="42" t="str">
        <f>CONCATENATE("https://jenkins.werfen.com/",Transports!$D29,Transports!$E29,"?token=",Transports!$C29,"&amp;token2=")</f>
        <v>https://jenkins.werfen.com/job/Werfen%20websites/job/Production%20environment/job/QA%20Transports/job/Werfen%20WW/buildWithParameters?token=WerfenWWRelease&amp;token2=</v>
      </c>
      <c r="D10" s="42" t="str">
        <f>_xlfn.CONCAT("https://jenkins.werfen.com/",Transports!$D29,"?token=",Transports!$C29)</f>
        <v>https://jenkins.werfen.com/job/Werfen%20websites/job/Production%20environment/job/QA%20Transports/job/Werfen%20WW/?token=WerfenWWRelease</v>
      </c>
      <c r="E10" s="44" t="str">
        <f>Transports!$C$2</f>
        <v>11670cc89254539b7527b5113a68e6edb6</v>
      </c>
      <c r="F10" s="46">
        <f>Transports!$D$3</f>
        <v>45962</v>
      </c>
    </row>
    <row r="11" spans="1:6" s="43" customFormat="1" ht="36" customHeight="1">
      <c r="A11" s="41" t="str">
        <f>Transports!F32</f>
        <v>18</v>
      </c>
      <c r="B11" s="41" t="str">
        <f>Transports!$G32</f>
        <v>Website Mexico legacy</v>
      </c>
      <c r="C11" s="42" t="str">
        <f>CONCATENATE("https://jenkins.werfen.com/",Transports!$D32,Transports!$E32,"?token=",Transports!$C32,"&amp;token2=")</f>
        <v>https://jenkins.werfen.com/job/Werfen%20websites/job/Production%20environment/job/QA%20Transports/job/Werfen%20MX/buildWithParameters?token=WerfenMXRelease&amp;token2=</v>
      </c>
      <c r="D11" s="42" t="str">
        <f>_xlfn.CONCAT("https://jenkins.werfen.com/",Transports!$D32,"?token=",Transports!$C32)</f>
        <v>https://jenkins.werfen.com/job/Werfen%20websites/job/Production%20environment/job/QA%20Transports/job/Werfen%20MX/?token=WerfenMXRelease</v>
      </c>
      <c r="E11" s="44" t="str">
        <f>Transports!$C$2</f>
        <v>11670cc89254539b7527b5113a68e6edb6</v>
      </c>
      <c r="F11" s="46">
        <f>Transports!$D$3</f>
        <v>45962</v>
      </c>
    </row>
    <row r="12" spans="1:6" s="43" customFormat="1" ht="50.45" customHeight="1">
      <c r="A12" s="41" t="str">
        <f>Transports!F35</f>
        <v>23</v>
      </c>
      <c r="B12" s="41" t="str">
        <f>Transports!$G35</f>
        <v>Website Spain legacy</v>
      </c>
      <c r="C12" s="42" t="str">
        <f>CONCATENATE("https://jenkins.werfen.com/",Transports!$D35,Transports!$E35,"?token=",Transports!$C35,"&amp;token2=")</f>
        <v>https://jenkins.werfen.com/job/Werfen%20websites/job/Production%20environment/job/QA%20Transports/job/Werfen%20ES/buildWithParameters?token=WerfenESRelease&amp;token2=</v>
      </c>
      <c r="D12" s="42" t="str">
        <f>_xlfn.CONCAT("https://jenkins.werfen.com/",Transports!$D35,"?token=",Transports!$C35)</f>
        <v>https://jenkins.werfen.com/job/Werfen%20websites/job/Production%20environment/job/QA%20Transports/job/Werfen%20ES/?token=WerfenESRelease</v>
      </c>
      <c r="E12" s="44" t="str">
        <f>Transports!$C$2</f>
        <v>11670cc89254539b7527b5113a68e6edb6</v>
      </c>
      <c r="F12" s="46">
        <f>Transports!$D$3</f>
        <v>45962</v>
      </c>
    </row>
    <row r="13" spans="1:6" s="43" customFormat="1" ht="37.5" customHeight="1">
      <c r="A13" s="41" t="str">
        <f>Transports!F38</f>
        <v>5</v>
      </c>
      <c r="B13" s="41" t="str">
        <f>Transports!$G38</f>
        <v>Website Benelux legacy</v>
      </c>
      <c r="C13" s="42" t="str">
        <f>CONCATENATE("https://jenkins.werfen.com/",Transports!$D38,Transports!$E38,"?token=",Transports!$C38,"&amp;token2=")</f>
        <v>https://jenkins.werfen.com/job/Werfen%20websites/job/Production%20environment/job/QA%20Transports/job/Werfen%20Benelux/buildWithParameters?token=WerfenBeneluxRelease&amp;token2=</v>
      </c>
      <c r="D13" s="42" t="str">
        <f>_xlfn.CONCAT("https://jenkins.werfen.com/",Transports!$D38,"?token=",Transports!$C38)</f>
        <v>https://jenkins.werfen.com/job/Werfen%20websites/job/Production%20environment/job/QA%20Transports/job/Werfen%20Benelux/?token=WerfenBeneluxRelease</v>
      </c>
      <c r="E13" s="44" t="str">
        <f>Transports!$C$2</f>
        <v>11670cc89254539b7527b5113a68e6edb6</v>
      </c>
      <c r="F13" s="46">
        <f>Transports!$D$3</f>
        <v>45962</v>
      </c>
    </row>
    <row r="14" spans="1:6" s="43" customFormat="1" ht="31.5">
      <c r="A14" s="41" t="str">
        <f>Transports!F41</f>
        <v>27</v>
      </c>
      <c r="B14" s="41" t="str">
        <f>Transports!$G41</f>
        <v>SSM web legacy</v>
      </c>
      <c r="C14" s="42" t="str">
        <f>CONCATENATE("https://jenkins.werfen.com/",Transports!$D41,Transports!$E41,"?token=",Transports!$C41,"&amp;token2=")</f>
        <v>https://jenkins.werfen.com/job/WeNet/job/Production%20environment/job/QA%20Transports/job/SSM%20website/buildWithParameters?token=wenetSSMweb&amp;token2=</v>
      </c>
      <c r="D14" s="42" t="str">
        <f>_xlfn.CONCAT("https://jenkins.werfen.com/",Transports!$D41,"?token=",Transports!$C41)</f>
        <v>https://jenkins.werfen.com/job/WeNet/job/Production%20environment/job/QA%20Transports/job/SSM%20website/?token=wenetSSMweb</v>
      </c>
      <c r="E14" s="44" t="str">
        <f>Transports!$C$2</f>
        <v>11670cc89254539b7527b5113a68e6edb6</v>
      </c>
      <c r="F14" s="46">
        <f>Transports!$D$3</f>
        <v>45962</v>
      </c>
    </row>
    <row r="15" spans="1:6" s="43" customFormat="1" ht="43.35" customHeight="1">
      <c r="A15" s="41" t="str">
        <f>Transports!F42</f>
        <v>26</v>
      </c>
      <c r="B15" s="41" t="str">
        <f>Transports!$G42</f>
        <v>WeNet legacy</v>
      </c>
      <c r="C15" s="42" t="str">
        <f>CONCATENATE("https://jenkins.werfen.com/",Transports!$D42,Transports!$E42,"?token=",Transports!$C42,"&amp;token2=")</f>
        <v>https://jenkins.werfen.com/job/WeNet/job/Production%20environment/job/QA%20Transports/job/Deploy%20site/buildWithParameters?token=wenetRelease&amp;token2=</v>
      </c>
      <c r="D15" s="42" t="str">
        <f>_xlfn.CONCAT("https://jenkins.werfen.com/",Transports!$D42,"?token=",Transports!$C42)</f>
        <v>https://jenkins.werfen.com/job/WeNet/job/Production%20environment/job/QA%20Transports/job/Deploy%20site/?token=wenetRelease</v>
      </c>
      <c r="E15" s="44" t="str">
        <f>Transports!$C$2</f>
        <v>11670cc89254539b7527b5113a68e6edb6</v>
      </c>
      <c r="F15" s="46">
        <f>Transports!$D$3</f>
        <v>45962</v>
      </c>
    </row>
    <row r="16" spans="1:6" s="43" customFormat="1" ht="47.25">
      <c r="A16" s="41" t="str">
        <f>Transports!F45</f>
        <v>25</v>
      </c>
      <c r="B16" s="41" t="str">
        <f>Transports!$G45</f>
        <v>Website BI (QlikSense) legacy</v>
      </c>
      <c r="C16" s="42" t="str">
        <f>CONCATENATE("https://jenkins.werfen.com/",Transports!$D45,Transports!$E45,"?token=",Transports!$C45,"&amp;token2=")</f>
        <v>https://jenkins.werfen.com/job/Werfen%20websites/job/Production%20environment/job/QA%20Transports/job/QLikSense%20Release/buildWithParameters?token=QlikSenseRelease&amp;token2=</v>
      </c>
      <c r="D16" s="42" t="str">
        <f>_xlfn.CONCAT("https://jenkins.werfen.com/",Transports!$D45,"?token=",Transports!$C45)</f>
        <v>https://jenkins.werfen.com/job/Werfen%20websites/job/Production%20environment/job/QA%20Transports/job/QLikSense%20Release/?token=QlikSenseRelease</v>
      </c>
      <c r="E16" s="44" t="str">
        <f>Transports!$C$2</f>
        <v>11670cc89254539b7527b5113a68e6edb6</v>
      </c>
      <c r="F16" s="46">
        <f>Transports!$D$3</f>
        <v>45962</v>
      </c>
    </row>
    <row r="17" spans="1:6" s="43" customFormat="1" ht="33" customHeight="1">
      <c r="A17" s="41" t="str">
        <f>Transports!F48</f>
        <v>10</v>
      </c>
      <c r="B17" s="41" t="str">
        <f>Transports!$G48</f>
        <v>Website Germany legacy</v>
      </c>
      <c r="C17" s="42" t="str">
        <f>CONCATENATE("https://jenkins.werfen.com/",Transports!$D48,Transports!$E48,"?token=",Transports!$C48,"&amp;token2=")</f>
        <v>https://jenkins.werfen.com/job/Werfen%20websites/job/Production%20environment/job/QA%20Transports/job/Werfen%20DE/buildWithParameters?token=WerfenDERelease&amp;token2=</v>
      </c>
      <c r="D17" s="42" t="str">
        <f>_xlfn.CONCAT("https://jenkins.werfen.com/",Transports!$D48,"?token=",Transports!$C48)</f>
        <v>https://jenkins.werfen.com/job/Werfen%20websites/job/Production%20environment/job/QA%20Transports/job/Werfen%20DE/?token=WerfenDERelease</v>
      </c>
      <c r="E17" s="44" t="str">
        <f>Transports!$C$2</f>
        <v>11670cc89254539b7527b5113a68e6edb6</v>
      </c>
      <c r="F17" s="46">
        <f>Transports!$D$3</f>
        <v>45962</v>
      </c>
    </row>
    <row r="18" spans="1:6" s="43" customFormat="1" ht="33" customHeight="1">
      <c r="A18" s="41" t="str">
        <f>Transports!F51</f>
        <v>6</v>
      </c>
      <c r="B18" s="41" t="str">
        <f>Transports!$G51</f>
        <v>Website Brazil legacy</v>
      </c>
      <c r="C18" s="42" t="str">
        <f>CONCATENATE("https://jenkins.werfen.com/",Transports!$D51,Transports!$E51,"?token=",Transports!$C51,"&amp;token2=")</f>
        <v>https://jenkins.werfen.com/job/Werfen%20websites/job/Production%20environment/job/QA%20Transports/job/Werfen%20BR/buildWithParameters?token=WerfenBRRelease&amp;token2=</v>
      </c>
      <c r="D18" s="42" t="str">
        <f>_xlfn.CONCAT("https://jenkins.werfen.com/",Transports!$D51,"?token=",Transports!$C51)</f>
        <v>https://jenkins.werfen.com/job/Werfen%20websites/job/Production%20environment/job/QA%20Transports/job/Werfen%20BR/?token=WerfenBRRelease</v>
      </c>
      <c r="E18" s="44" t="str">
        <f>Transports!$C$2</f>
        <v>11670cc89254539b7527b5113a68e6edb6</v>
      </c>
      <c r="F18" s="46">
        <f>Transports!$D$3</f>
        <v>45962</v>
      </c>
    </row>
    <row r="19" spans="1:6" s="43" customFormat="1" ht="33" customHeight="1">
      <c r="A19" s="41" t="str">
        <f>Transports!F54</f>
        <v>16</v>
      </c>
      <c r="B19" s="41" t="str">
        <f>Transports!$G54</f>
        <v>Website Leventon legacy</v>
      </c>
      <c r="C19" s="42" t="str">
        <f>CONCATENATE("https://jenkins.werfen.com/",Transports!$D54,Transports!$E54,"?token=",Transports!$C54,"&amp;token2=")</f>
        <v>https://jenkins.werfen.com/job/Werfen%20websites/job/Production%20environment/job/QA%20Transports/job/Leventon/buildWithParameters?token=LeventonRelease&amp;token2=</v>
      </c>
      <c r="D19" s="42" t="str">
        <f>_xlfn.CONCAT("https://jenkins.werfen.com/",Transports!$D54,"?token=",Transports!$C54)</f>
        <v>https://jenkins.werfen.com/job/Werfen%20websites/job/Production%20environment/job/QA%20Transports/job/Leventon/?token=LeventonRelease</v>
      </c>
      <c r="E19" s="44" t="str">
        <f>Transports!$C$2</f>
        <v>11670cc89254539b7527b5113a68e6edb6</v>
      </c>
      <c r="F19" s="46">
        <f>Transports!$D$3</f>
        <v>45962</v>
      </c>
    </row>
    <row r="20" spans="1:6" s="43" customFormat="1" ht="60.75" customHeight="1">
      <c r="A20" s="41">
        <f>Transports!F59</f>
        <v>0</v>
      </c>
      <c r="B20" s="41" t="str">
        <f>Transports!$G59</f>
        <v>Website Portugal hotfix</v>
      </c>
      <c r="C20" s="42" t="str">
        <f>CONCATENATE("https://jenkins.werfen.com/",Transports!$D59,Transports!$E59,"?token=",Transports!$C59,"&amp;token2=")</f>
        <v>https://jenkins.werfen.com/job/Werfen%20websites/job/Production%20environment/job/QA%20Transports/job/Werfen%20PT%20hotfix/buildWithParameters?token=WerfenPTHotifx&amp;token2=</v>
      </c>
      <c r="D20" s="42" t="str">
        <f>_xlfn.CONCAT("https://jenkins.werfen.com/",Transports!$D59,"?token=",Transports!$C59)</f>
        <v>https://jenkins.werfen.com/job/Werfen%20websites/job/Production%20environment/job/QA%20Transports/job/Werfen%20PT%20hotfix/?token=WerfenPTHotifx</v>
      </c>
      <c r="E20" s="44" t="str">
        <f>Transports!$C$2</f>
        <v>11670cc89254539b7527b5113a68e6edb6</v>
      </c>
      <c r="F20" s="46">
        <f>Transports!$D$3</f>
        <v>45962</v>
      </c>
    </row>
    <row r="21" spans="1:6" s="43" customFormat="1" ht="37.35" customHeight="1">
      <c r="A21" s="41" t="str">
        <f>Transports!F60</f>
        <v>15</v>
      </c>
      <c r="B21" s="41" t="str">
        <f>Transports!$G60</f>
        <v>Website Korea legacy</v>
      </c>
      <c r="C21" s="42" t="str">
        <f>CONCATENATE("https://jenkins.werfen.com/",Transports!$D60,Transports!$E60,"?token=",Transports!$C60,"&amp;token2=")</f>
        <v>https://jenkins.werfen.com/job/Werfen%20websites/job/Production%20environment/job/QA%20Transports/job/Werfen%20KR/buildWithParameters?token=WerfenKRRelease&amp;token2=</v>
      </c>
      <c r="D21" s="42" t="str">
        <f>_xlfn.CONCAT("https://jenkins.werfen.com/",Transports!$D60,"?token=",Transports!$C60)</f>
        <v>https://jenkins.werfen.com/job/Werfen%20websites/job/Production%20environment/job/QA%20Transports/job/Werfen%20KR/?token=WerfenKRRelease</v>
      </c>
      <c r="E21" s="44" t="str">
        <f>Transports!$C$2</f>
        <v>11670cc89254539b7527b5113a68e6edb6</v>
      </c>
      <c r="F21" s="46">
        <f>Transports!$D$3</f>
        <v>45962</v>
      </c>
    </row>
    <row r="22" spans="1:6" s="43" customFormat="1" ht="45" customHeight="1">
      <c r="A22" s="41" t="str">
        <f>Transports!F63</f>
        <v>14</v>
      </c>
      <c r="B22" s="41" t="str">
        <f>Transports!$G63</f>
        <v>Website Japan legacy</v>
      </c>
      <c r="C22" s="42" t="str">
        <f>CONCATENATE("https://jenkins.werfen.com/",Transports!$D63,Transports!$E63,"?token=",Transports!$C63,"&amp;token2=")</f>
        <v>https://jenkins.werfen.com/job/Werfen%20websites/job/Production%20environment/job/QA%20Transports/job/Werfen%20JP/buildWithParameters?token=WerfenJPRelease&amp;token2=</v>
      </c>
      <c r="D22" s="42" t="str">
        <f>_xlfn.CONCAT("https://jenkins.werfen.com/",Transports!$D63,"?token=",Transports!$C63)</f>
        <v>https://jenkins.werfen.com/job/Werfen%20websites/job/Production%20environment/job/QA%20Transports/job/Werfen%20JP/?token=WerfenJPRelease</v>
      </c>
      <c r="E22" s="44" t="str">
        <f>Transports!$C$2</f>
        <v>11670cc89254539b7527b5113a68e6edb6</v>
      </c>
      <c r="F22" s="46">
        <f>Transports!$D$3</f>
        <v>45962</v>
      </c>
    </row>
    <row r="23" spans="1:6" s="43" customFormat="1" ht="62.45" customHeight="1">
      <c r="A23" s="41" t="str">
        <f>Transports!F66</f>
        <v>7</v>
      </c>
      <c r="B23" s="41" t="str">
        <f>Transports!$G66</f>
        <v>Website China AWS legacy</v>
      </c>
      <c r="C23" s="42" t="str">
        <f>CONCATENATE("https://jenkins.werfen.com/",Transports!$D66,Transports!$E66,"?token=",Transports!$C66,"&amp;token2=")</f>
        <v>https://jenkins.werfen.com/job/Werfen%20websites/job/Production%20environment/job/QA%20Transports/job/Werfen%20CN%20-%20AWS/build?token=WerfenCNRelease&amp;token2=</v>
      </c>
      <c r="D23" s="42" t="str">
        <f>_xlfn.CONCAT("https://jenkins.werfen.com/",Transports!$D66,"?token=",Transports!$C66)</f>
        <v>https://jenkins.werfen.com/job/Werfen%20websites/job/Production%20environment/job/QA%20Transports/job/Werfen%20CN%20-%20AWS/?token=WerfenCNRelease</v>
      </c>
      <c r="E23" s="44" t="str">
        <f>Transports!$C$2</f>
        <v>11670cc89254539b7527b5113a68e6edb6</v>
      </c>
      <c r="F23" s="46">
        <f>Transports!$D$3</f>
        <v>45962</v>
      </c>
    </row>
    <row r="24" spans="1:6" s="43" customFormat="1" ht="62.45" customHeight="1">
      <c r="A24" s="41" t="str">
        <f>Transports!F69</f>
        <v>20</v>
      </c>
      <c r="B24" s="41" t="str">
        <f>Transports!$G69</f>
        <v>Website OEM legacy</v>
      </c>
      <c r="C24" s="42" t="str">
        <f>CONCATENATE("https://jenkins.werfen.com/",Transports!$D69,Transports!$E69,"?token=",Transports!$C69,"&amp;token2=")</f>
        <v>https://jenkins.werfen.com/job/Werfen%20websites/job/Production%20environment/job/QA%20Transports/job/Werfen%20OEM/buildWithParameters?token=WerfenOEMRelease&amp;token2=</v>
      </c>
      <c r="D24" s="42" t="str">
        <f>_xlfn.CONCAT("https://jenkins.werfen.com/",Transports!$D69,"?token=",Transports!$C69)</f>
        <v>https://jenkins.werfen.com/job/Werfen%20websites/job/Production%20environment/job/QA%20Transports/job/Werfen%20OEM/?token=WerfenOEMRelease</v>
      </c>
      <c r="E24" s="44" t="str">
        <f>Transports!$C$2</f>
        <v>11670cc89254539b7527b5113a68e6edb6</v>
      </c>
      <c r="F24" s="46">
        <f>Transports!$D$3</f>
        <v>45962</v>
      </c>
    </row>
    <row r="25" spans="1:6" s="43" customFormat="1" ht="62.45" customHeight="1">
      <c r="A25" s="41" t="str">
        <f>Transports!F72</f>
        <v>19</v>
      </c>
      <c r="B25" s="41" t="str">
        <f>Transports!$G72</f>
        <v>Website NoAm legacy</v>
      </c>
      <c r="C25" s="42" t="str">
        <f>CONCATENATE("https://jenkins.werfen.com/",Transports!$D72,Transports!$E72,"?token=",Transports!$C72,"&amp;token2=")</f>
        <v>https://jenkins.werfen.com/job/Werfen%20websites/job/Production%20environment/job/QA%20Transports/job/Werfen%20NoAm/buildWithParameters?token=WerfenNoAmRelease&amp;token2=</v>
      </c>
      <c r="D25" s="42" t="str">
        <f>_xlfn.CONCAT("https://jenkins.werfen.com/",Transports!$D72,"?token=",Transports!$C72)</f>
        <v>https://jenkins.werfen.com/job/Werfen%20websites/job/Production%20environment/job/QA%20Transports/job/Werfen%20NoAm/?token=WerfenNoAmRelease</v>
      </c>
      <c r="E25" s="44" t="str">
        <f>Transports!$C$2</f>
        <v>11670cc89254539b7527b5113a68e6edb6</v>
      </c>
      <c r="F25" s="46">
        <f>Transports!$D$3</f>
        <v>45962</v>
      </c>
    </row>
    <row r="26" spans="1:6" s="43" customFormat="1" ht="62.45" customHeight="1">
      <c r="A26" s="41" t="str">
        <f>Transports!F75</f>
        <v>3</v>
      </c>
      <c r="B26" s="41" t="str">
        <f>Transports!$G75</f>
        <v>Website Austria legacy</v>
      </c>
      <c r="C26" s="42" t="str">
        <f>CONCATENATE("https://jenkins.werfen.com/",Transports!$D75,Transports!$E75,"?token=",Transports!$C75,"&amp;token2=")</f>
        <v>https://jenkins.werfen.com/job/Werfen%20websites/job/Production%20environment/job/QA%20Transports/job/Werfen%20AT/buildWithParameters?token=WerfenATRelease&amp;token2=</v>
      </c>
      <c r="D26" s="42" t="str">
        <f>_xlfn.CONCAT("https://jenkins.werfen.com/",Transports!$D75,"?token=",Transports!$C75)</f>
        <v>https://jenkins.werfen.com/job/Werfen%20websites/job/Production%20environment/job/QA%20Transports/job/Werfen%20AT/?token=WerfenATRelease</v>
      </c>
      <c r="E26" s="44" t="str">
        <f>Transports!$C$2</f>
        <v>11670cc89254539b7527b5113a68e6edb6</v>
      </c>
      <c r="F26" s="46">
        <f>Transports!$D$3</f>
        <v>45962</v>
      </c>
    </row>
    <row r="27" spans="1:6" s="43" customFormat="1" ht="62.45" customHeight="1">
      <c r="A27" s="41" t="str">
        <f>Transports!F76</f>
        <v>30</v>
      </c>
      <c r="B27" s="41" t="str">
        <f>Transports!$G76</f>
        <v>TicketLine legacy</v>
      </c>
      <c r="C27" s="42" t="str">
        <f>CONCATENATE("https://jenkins.werfen.com/",Transports!$D76,Transports!$E76,"?token=",Transports!$C76,"&amp;token2=")</f>
        <v>https://jenkins.werfen.com/job/TicketLine/job/Production%20Environment/job/QA%20Transports/job/TicketLine/buildWithParameters?token=TicketLineRelease&amp;token2=</v>
      </c>
      <c r="D27" s="42" t="str">
        <f>_xlfn.CONCAT("https://jenkins.werfen.com/",Transports!$D76,"?token=",Transports!$C76)</f>
        <v>https://jenkins.werfen.com/job/TicketLine/job/Production%20Environment/job/QA%20Transports/job/TicketLine/?token=TicketLineRelease</v>
      </c>
      <c r="E27" s="44" t="str">
        <f>Transports!$C$2</f>
        <v>11670cc89254539b7527b5113a68e6edb6</v>
      </c>
      <c r="F27" s="46">
        <f>Transports!$D$3</f>
        <v>45962</v>
      </c>
    </row>
    <row r="28" spans="1:6" s="43" customFormat="1" ht="62.45" customHeight="1">
      <c r="A28" s="41" t="str">
        <f>Transports!F81</f>
        <v>42</v>
      </c>
      <c r="B28" s="41" t="str">
        <f>Transports!$G81</f>
        <v>Solr Middleware legacy</v>
      </c>
      <c r="C28" s="42" t="str">
        <f>CONCATENATE("https://jenkins.werfen.com/",Transports!$D81,Transports!$E81,"?token=",Transports!$C81,"&amp;token2=")</f>
        <v>https://jenkins.werfen.com/job/TicketLine/job/Production%20Environment/job/QA%20Transports/job/Solr%20Middleware/build?token=SolrMiddlewareRelease&amp;token2=</v>
      </c>
      <c r="D28" s="42" t="str">
        <f>_xlfn.CONCAT("https://jenkins.werfen.com/",Transports!$D81,"?token=",Transports!$C81)</f>
        <v>https://jenkins.werfen.com/job/TicketLine/job/Production%20Environment/job/QA%20Transports/job/Solr%20Middleware/?token=SolrMiddlewareRelease</v>
      </c>
      <c r="E28" s="44" t="str">
        <f>Transports!$C$2</f>
        <v>11670cc89254539b7527b5113a68e6edb6</v>
      </c>
      <c r="F28" s="46">
        <f>Transports!$D$3</f>
        <v>45962</v>
      </c>
    </row>
    <row r="29" spans="1:6" s="43" customFormat="1" ht="62.45" customHeight="1">
      <c r="A29" s="41" t="str">
        <f>Transports!F84</f>
        <v>29</v>
      </c>
      <c r="B29" s="41" t="str">
        <f>Transports!$G84</f>
        <v>Werfen DOCS legacy</v>
      </c>
      <c r="C29" s="42" t="str">
        <f>CONCATENATE("https://jenkins.werfen.com/",Transports!$D84,Transports!$E84,"?token=",Transports!$C84,"&amp;token2=")</f>
        <v>https://jenkins.werfen.com/job/WerfenDocs/job/Production/job/QA%20Transports/job/Werfen%20Docs%20Full%20Release/build?token=WerfenDocsFullRelease&amp;token2=</v>
      </c>
      <c r="D29" s="42" t="str">
        <f>_xlfn.CONCAT("https://jenkins.werfen.com/",Transports!$D84,"?token=",Transports!$C84)</f>
        <v>https://jenkins.werfen.com/job/WerfenDocs/job/Production/job/QA%20Transports/job/Werfen%20Docs%20Full%20Release/?token=WerfenDocsFullRelease</v>
      </c>
      <c r="E29" s="44" t="str">
        <f>Transports!$C$2</f>
        <v>11670cc89254539b7527b5113a68e6edb6</v>
      </c>
      <c r="F29" s="46">
        <f>Transports!$D$3</f>
        <v>45962</v>
      </c>
    </row>
    <row r="30" spans="1:6" s="43" customFormat="1" ht="62.45" customHeight="1">
      <c r="A30" s="41" t="str">
        <f>Transports!F87</f>
        <v>31</v>
      </c>
      <c r="B30" s="41" t="str">
        <f>Transports!$G87</f>
        <v>Old Case Portal legacy</v>
      </c>
      <c r="C30" s="42" t="str">
        <f>CONCATENATE("https://jenkins.werfen.com/",Transports!$D87,Transports!$E87,"?token=",Transports!$C87,"&amp;token2=")</f>
        <v>https://jenkins.werfen.com/job/Case%20Portal%20(Legacy)/job/Production%20Environment/job/QA%20Transports/job/Case%20Portal%20Legacy/build?token=CasePortalRelease&amp;token2=</v>
      </c>
      <c r="D30" s="42" t="str">
        <f>_xlfn.CONCAT("https://jenkins.werfen.com/",Transports!$D87,"?token=",Transports!$C87)</f>
        <v>https://jenkins.werfen.com/job/Case%20Portal%20(Legacy)/job/Production%20Environment/job/QA%20Transports/job/Case%20Portal%20Legacy/?token=CasePortalRelease</v>
      </c>
      <c r="E30" s="44" t="str">
        <f>Transports!$C$2</f>
        <v>11670cc89254539b7527b5113a68e6edb6</v>
      </c>
      <c r="F30" s="46">
        <f>Transports!$D$3</f>
        <v>45962</v>
      </c>
    </row>
    <row r="31" spans="1:6" s="43" customFormat="1" ht="62.45" customHeight="1">
      <c r="A31" s="41" t="str">
        <f>Transports!F88</f>
        <v>43</v>
      </c>
      <c r="B31" s="41" t="str">
        <f>Transports!$G88</f>
        <v>Middleware ADP legacy</v>
      </c>
      <c r="C31" s="42" t="str">
        <f>CONCATENATE("https://jenkins.werfen.com/",Transports!$D88,Transports!$E88,"?token=",Transports!$C88,"&amp;token2=")</f>
        <v>https://jenkins.werfen.com/job/Middleware%20ADP/job/Production%20environment/job/QA%20Transports/job/Deploy%20site/buildWithParameters?token=MiddlewareADPRelease&amp;token2=</v>
      </c>
      <c r="D31" s="42" t="str">
        <f>_xlfn.CONCAT("https://jenkins.werfen.com/",Transports!$D88,"?token=",Transports!$C88)</f>
        <v>https://jenkins.werfen.com/job/Middleware%20ADP/job/Production%20environment/job/QA%20Transports/job/Deploy%20site/?token=MiddlewareADPRelease</v>
      </c>
      <c r="E31" s="44" t="str">
        <f>Transports!$C$2</f>
        <v>11670cc89254539b7527b5113a68e6edb6</v>
      </c>
      <c r="F31" s="46">
        <f>Transports!$D$3</f>
        <v>45962</v>
      </c>
    </row>
    <row r="32" spans="1:6" s="43" customFormat="1" ht="62.45" customHeight="1">
      <c r="A32" s="41" t="str">
        <f>Transports!F91</f>
        <v>44</v>
      </c>
      <c r="B32" s="41" t="str">
        <f>Transports!$G91</f>
        <v>MonthlyReport legacy</v>
      </c>
      <c r="C32" s="42" t="str">
        <f>CONCATENATE("https://jenkins.werfen.com/",Transports!$D91,Transports!$E91,"?token=",Transports!$C91,"&amp;token2=")</f>
        <v>https://jenkins.werfen.com/job/Monthly%20Report/job/Production%20Environment/job/QA%20Transports/job/Deploy/buildWithParameters?token=MonthlyReportRelease&amp;token2=</v>
      </c>
      <c r="D32" s="42" t="str">
        <f>_xlfn.CONCAT("https://jenkins.werfen.com/",Transports!$D91,"?token=",Transports!$C91)</f>
        <v>https://jenkins.werfen.com/job/Monthly%20Report/job/Production%20Environment/job/QA%20Transports/job/Deploy/?token=MonthlyReportRelease</v>
      </c>
      <c r="E32" s="44" t="str">
        <f>Transports!$C$2</f>
        <v>11670cc89254539b7527b5113a68e6edb6</v>
      </c>
      <c r="F32" s="46">
        <f>Transports!$D$3</f>
        <v>45962</v>
      </c>
    </row>
    <row r="33" spans="1:6" s="43" customFormat="1" ht="62.45" customHeight="1">
      <c r="A33" s="41" t="str">
        <f>Transports!F94</f>
        <v>45</v>
      </c>
      <c r="B33" s="41" t="s">
        <v>506</v>
      </c>
      <c r="C33" s="42" t="str">
        <f>CONCATENATE("https://jenkins.werfen.com/",Transports!$D94,Transports!$E94,"?token=",Transports!$C94,"&amp;token2=")</f>
        <v>https://jenkins.werfen.com/job/myClaims/job/Production%20Environment/job/QA%20Transports/job/Deploy%20to%20prod/buildWithParameters?token=myClaimsRelease&amp;token2=</v>
      </c>
      <c r="D33" s="42" t="str">
        <f>_xlfn.CONCAT("https://jenkins.werfen.com/",Transports!$D94,"?token=",Transports!$C94)</f>
        <v>https://jenkins.werfen.com/job/myClaims/job/Production%20Environment/job/QA%20Transports/job/Deploy%20to%20prod/?token=myClaimsRelease</v>
      </c>
      <c r="E33" s="44" t="str">
        <f>Transports!$C$2</f>
        <v>11670cc89254539b7527b5113a68e6edb6</v>
      </c>
      <c r="F33" s="46">
        <f>Transports!$D$3</f>
        <v>45962</v>
      </c>
    </row>
    <row r="34" spans="1:6" s="43" customFormat="1" ht="62.45" customHeight="1">
      <c r="A34" s="41" t="str">
        <f>Transports!F97</f>
        <v>46</v>
      </c>
      <c r="B34" s="41" t="str">
        <f>Transports!$G97</f>
        <v>myClaimsChina</v>
      </c>
      <c r="C34" s="42" t="str">
        <f>CONCATENATE("https://jenkins.werfen.com/",Transports!$D97,Transports!$E97,"?token=",Transports!$C97,"&amp;token2=")</f>
        <v>https://jenkins.werfen.com/job/myClaims/job/Production%20Environment/job/QA%20Transports/job/Deploy%20to%20prod%20CN/buildWithParameters?token=myClaimsCNRelease&amp;token2=</v>
      </c>
      <c r="D34" s="42" t="str">
        <f>_xlfn.CONCAT("https://jenkins.werfen.com/",Transports!$D97,"?token=",Transports!$C97)</f>
        <v>https://jenkins.werfen.com/job/myClaims/job/Production%20Environment/job/QA%20Transports/job/Deploy%20to%20prod%20CN/?token=myClaimsCNRelease</v>
      </c>
      <c r="E34" s="44" t="str">
        <f>Transports!$C$2</f>
        <v>11670cc89254539b7527b5113a68e6edb6</v>
      </c>
      <c r="F34" s="46">
        <f>Transports!$D$3</f>
        <v>45962</v>
      </c>
    </row>
    <row r="35" spans="1:6" s="43" customFormat="1" ht="62.45" customHeight="1">
      <c r="A35" s="41">
        <f>Transports!F101</f>
        <v>0</v>
      </c>
      <c r="B35" s="41" t="str">
        <f>Transports!$G101</f>
        <v>myOrders Release</v>
      </c>
      <c r="C35" s="42" t="str">
        <f>CONCATENATE("https://jenkins.werfen.com/",Transports!$D101,Transports!$E101,"?token=",Transports!$C101,"&amp;token2=")</f>
        <v>https://jenkins.werfen.com/job/myOrders/job/Production%20Environment/job/QA%20Transport/job/Deploy%20release/buildWithParameters?token=myOrdersRelease1&amp;token2=</v>
      </c>
      <c r="D35" s="42" t="str">
        <f>_xlfn.CONCAT("https://jenkins.werfen.com/",Transports!$D101,"?token=",Transports!$C101)</f>
        <v>https://jenkins.werfen.com/job/myOrders/job/Production%20Environment/job/QA%20Transport/job/Deploy%20release/?token=myOrdersRelease1</v>
      </c>
      <c r="E35" s="44" t="str">
        <f>Transports!$C$2</f>
        <v>11670cc89254539b7527b5113a68e6edb6</v>
      </c>
      <c r="F35" s="46">
        <f>Transports!$D$3</f>
        <v>45962</v>
      </c>
    </row>
    <row r="36" spans="1:6" s="43" customFormat="1" ht="62.45" customHeight="1">
      <c r="A36" s="41" t="str">
        <f>Transports!F105</f>
        <v>41</v>
      </c>
      <c r="B36" s="41" t="str">
        <f>Transports!$G105</f>
        <v>WerfenTower legacy</v>
      </c>
      <c r="C36" s="42" t="str">
        <f>CONCATENATE("https://jenkins.werfen.com/",Transports!$D105,Transports!$E105,"?token=",Transports!$C105,"&amp;token2=")</f>
        <v>https://jenkins.werfen.com/job/Tower/job/Production%20Environment/job/QA%20Transports/job/Tower/build?token=WerfenTowerRelease&amp;token2=</v>
      </c>
      <c r="D36" s="42" t="str">
        <f>_xlfn.CONCAT("https://jenkins.werfen.com/",Transports!$D105,"?token=",Transports!$C105)</f>
        <v>https://jenkins.werfen.com/job/Tower/job/Production%20Environment/job/QA%20Transports/job/Tower/?token=WerfenTowerRelease</v>
      </c>
      <c r="E36" s="44" t="str">
        <f>Transports!$C$2</f>
        <v>11670cc89254539b7527b5113a68e6edb6</v>
      </c>
      <c r="F36" s="46">
        <f>Transports!$D$3</f>
        <v>45962</v>
      </c>
    </row>
    <row r="37" spans="1:6" s="43" customFormat="1" ht="62.45" customHeight="1">
      <c r="A37" s="41" t="str">
        <f>Transports!F105</f>
        <v>41</v>
      </c>
      <c r="B37" s="41" t="str">
        <f>Transports!$G105</f>
        <v>WerfenTower legacy</v>
      </c>
      <c r="C37" s="42" t="str">
        <f>CONCATENATE("https://jenkins.werfen.com/",Transports!$D105,Transports!$E105,"?token=",Transports!$C105,"&amp;token2=")</f>
        <v>https://jenkins.werfen.com/job/Tower/job/Production%20Environment/job/QA%20Transports/job/Tower/build?token=WerfenTowerRelease&amp;token2=</v>
      </c>
      <c r="D37" s="42" t="str">
        <f>_xlfn.CONCAT("https://jenkins.werfen.com/",Transports!$D105,"?token=",Transports!$C105)</f>
        <v>https://jenkins.werfen.com/job/Tower/job/Production%20Environment/job/QA%20Transports/job/Tower/?token=WerfenTowerRelease</v>
      </c>
      <c r="E37" s="44" t="str">
        <f>Transports!$C$2</f>
        <v>11670cc89254539b7527b5113a68e6edb6</v>
      </c>
      <c r="F37" s="46">
        <f>Transports!$D$3</f>
        <v>45962</v>
      </c>
    </row>
    <row r="38" spans="1:6" s="43" customFormat="1" ht="62.45" customHeight="1">
      <c r="A38" s="41" t="str">
        <f>Transports!F108</f>
        <v>34</v>
      </c>
      <c r="B38" s="41" t="str">
        <f>Transports!$G108</f>
        <v>WeLearn legacy</v>
      </c>
      <c r="C38" s="42" t="str">
        <f>CONCATENATE("https://jenkins.werfen.com/",Transports!$D108,Transports!$E108,"?token=",Transports!$C108,"&amp;token2=")</f>
        <v>https://jenkins.werfen.com/job/LMS/job/Production%20environment/job/QA%20Transports/job/WeLearn/buildWithParameters?token=WeLearnRelease&amp;token2=</v>
      </c>
      <c r="D38" s="42" t="str">
        <f>_xlfn.CONCAT("https://jenkins.werfen.com/",Transports!$D108,"?token=",Transports!$C108)</f>
        <v>https://jenkins.werfen.com/job/LMS/job/Production%20environment/job/QA%20Transports/job/WeLearn/?token=WeLearnRelease</v>
      </c>
      <c r="E38" s="44" t="str">
        <f>Transports!$C$2</f>
        <v>11670cc89254539b7527b5113a68e6edb6</v>
      </c>
      <c r="F38" s="46">
        <f>Transports!$D$3</f>
        <v>45962</v>
      </c>
    </row>
    <row r="39" spans="1:6" s="43" customFormat="1" ht="62.45" customHeight="1">
      <c r="A39" s="41" t="str">
        <f>Transports!F111</f>
        <v>35</v>
      </c>
      <c r="B39" s="41" t="str">
        <f>Transports!$G111</f>
        <v>Werfen Academy legacy</v>
      </c>
      <c r="C39" s="42" t="str">
        <f>CONCATENATE("https://jenkins.werfen.com/",Transports!$D111,Transports!$E111,"?token=",Transports!$C111,"&amp;token2=")</f>
        <v>https://jenkins.werfen.com/job/LMS/job/Production%20environment/job/QA%20Transports/job/Release%20job%20academy/buildWithParameters?token=WerfenAcademyRelease&amp;token2=</v>
      </c>
      <c r="D39" s="42" t="str">
        <f>_xlfn.CONCAT("https://jenkins.werfen.com/",Transports!$D111,"?token=",Transports!$C111)</f>
        <v>https://jenkins.werfen.com/job/LMS/job/Production%20environment/job/QA%20Transports/job/Release%20job%20academy/?token=WerfenAcademyRelease</v>
      </c>
      <c r="E39" s="44" t="str">
        <f>Transports!$C$2</f>
        <v>11670cc89254539b7527b5113a68e6edb6</v>
      </c>
      <c r="F39" s="46">
        <f>Transports!$D$3</f>
        <v>45962</v>
      </c>
    </row>
    <row r="40" spans="1:6" s="43" customFormat="1" ht="62.45" customHeight="1">
      <c r="A40" s="41" t="str">
        <f>Transports!F114</f>
        <v>48</v>
      </c>
      <c r="B40" s="41" t="str">
        <f>Transports!$G114</f>
        <v>Werfen Academy China legacy</v>
      </c>
      <c r="C40" s="42" t="str">
        <f>CONCATENATE("https://jenkins.werfen.com/",Transports!$D114,Transports!$E114,"?token=",Transports!$C114,"&amp;token2=")</f>
        <v>https://jenkins.werfen.com/job/LMS/job/Production%20environment/job/QA%20Transports/job/Release%20job%20academy%20China/buildWithParameters?token=WerfenAcademyChinaRelease&amp;token2=</v>
      </c>
      <c r="D40" s="42" t="str">
        <f>_xlfn.CONCAT("https://jenkins.werfen.com/",Transports!$D114,"?token=",Transports!$C114)</f>
        <v>https://jenkins.werfen.com/job/LMS/job/Production%20environment/job/QA%20Transports/job/Release%20job%20academy%20China/?token=WerfenAcademyChinaRelease</v>
      </c>
      <c r="E40" s="44" t="str">
        <f>Transports!$C$2</f>
        <v>11670cc89254539b7527b5113a68e6edb6</v>
      </c>
      <c r="F40" s="46">
        <f>Transports!$D$3</f>
        <v>45962</v>
      </c>
    </row>
    <row r="41" spans="1:6" s="43" customFormat="1" ht="62.45" customHeight="1">
      <c r="A41" s="41" t="str">
        <f>Transports!F117</f>
        <v>49</v>
      </c>
      <c r="B41" s="41" t="str">
        <f>Transports!$G117</f>
        <v>Werfen Academy DosiFuser legacy</v>
      </c>
      <c r="C41" s="42" t="str">
        <f>CONCATENATE("https://jenkins.werfen.com/",Transports!$D117,Transports!$E117,"?token=",Transports!$C117,"&amp;token2=")</f>
        <v>https://jenkins.werfen.com/job/LMS/job/Production%20environment/job/QA%20Transports/job/Release%20job%20Dosi-fuser/buildWithParameters?token=WerfenAcademyDosiFuserRelease&amp;token2=</v>
      </c>
      <c r="D41" s="42" t="str">
        <f>_xlfn.CONCAT("https://jenkins.werfen.com/",Transports!$D117,"?token=",Transports!$C117)</f>
        <v>https://jenkins.werfen.com/job/LMS/job/Production%20environment/job/QA%20Transports/job/Release%20job%20Dosi-fuser/?token=WerfenAcademyDosiFuserRelease</v>
      </c>
      <c r="E41" s="44" t="str">
        <f>Transports!$C$2</f>
        <v>11670cc89254539b7527b5113a68e6edb6</v>
      </c>
      <c r="F41" s="46">
        <f>Transports!$D$3</f>
        <v>45962</v>
      </c>
    </row>
    <row r="42" spans="1:6" s="43" customFormat="1" ht="62.45" customHeight="1">
      <c r="A42" s="41" t="str">
        <f>Transports!F120</f>
        <v>36</v>
      </c>
      <c r="B42" s="41" t="str">
        <f>Transports!$G120</f>
        <v>Distributors Portal legacy</v>
      </c>
      <c r="C42" s="42" t="str">
        <f>CONCATENATE("https://jenkins.werfen.com/",Transports!$D120,Transports!$E120,"?token=",Transports!$C120,"&amp;token2=")</f>
        <v>https://jenkins.werfen.com/job/Distributors%20Portal%20(E-business)/job/Production%20Environment/job/QA%20Transport/job/Distributors%20Portal%20Deploy/build?token=DISTRIBUTORS_PORTAL_PRODUCTION_QA_TRANSPORT&amp;token2=</v>
      </c>
      <c r="D42" s="42" t="str">
        <f>_xlfn.CONCAT("https://jenkins.werfen.com/",Transports!$D120,"?token=",Transports!$C120)</f>
        <v>https://jenkins.werfen.com/job/Distributors%20Portal%20(E-business)/job/Production%20Environment/job/QA%20Transport/job/Distributors%20Portal%20Deploy/?token=DISTRIBUTORS_PORTAL_PRODUCTION_QA_TRANSPORT</v>
      </c>
      <c r="E42" s="44" t="str">
        <f>Transports!$C$2</f>
        <v>11670cc89254539b7527b5113a68e6edb6</v>
      </c>
      <c r="F42" s="46">
        <f>Transports!$D$3</f>
        <v>45962</v>
      </c>
    </row>
    <row r="43" spans="1:6" s="43" customFormat="1" ht="62.45" customHeight="1">
      <c r="A43" s="41" t="str">
        <f>Transports!F123</f>
        <v>37</v>
      </c>
      <c r="B43" s="41" t="str">
        <f>Transports!$G123</f>
        <v>IVD Market Watch legacy</v>
      </c>
      <c r="C43" s="42" t="str">
        <f>CONCATENATE("https://jenkins.werfen.com/",Transports!$D123,Transports!$E123,"?token=",Transports!$C123,"&amp;token2=")</f>
        <v>https://jenkins.werfen.com/job/IVD%20Market%20Watch/job/Production%20Environment/job/QA%20Transports/job/IVD%20Market%20Watch/buildWithParameters?token=IVDMarketWatchRelease&amp;token2=</v>
      </c>
      <c r="D43" s="42" t="str">
        <f>_xlfn.CONCAT("https://jenkins.werfen.com/",Transports!$D123,"?token=",Transports!$C123)</f>
        <v>https://jenkins.werfen.com/job/IVD%20Market%20Watch/job/Production%20Environment/job/QA%20Transports/job/IVD%20Market%20Watch/?token=IVDMarketWatchRelease</v>
      </c>
      <c r="E43" s="44" t="str">
        <f>Transports!$C$2</f>
        <v>11670cc89254539b7527b5113a68e6edb6</v>
      </c>
      <c r="F43" s="46">
        <f>Transports!$D$3</f>
        <v>45962</v>
      </c>
    </row>
    <row r="44" spans="1:6" s="43" customFormat="1" ht="62.45" customHeight="1">
      <c r="A44" s="41" t="str">
        <f>Transports!F126</f>
        <v>38</v>
      </c>
      <c r="B44" s="41" t="str">
        <f>Transports!$G126</f>
        <v>Customer Portal legacy</v>
      </c>
      <c r="C44" s="42" t="str">
        <f>CONCATENATE("https://jenkins.werfen.com/",Transports!$D126,Transports!$E126,"?token=",Transports!$C126,"&amp;token2=")</f>
        <v>https://jenkins.werfen.com/job/CustomersPortal/job/Production%20Environment/job/Customers%20Portal%20QA%20Transport/build?token=CUSTOMER_PORTAL_PRODUCTION_QA_TRANSPORT&amp;token2=</v>
      </c>
      <c r="D44" s="42" t="str">
        <f>_xlfn.CONCAT("https://jenkins.werfen.com/",Transports!$D126,"?token=",Transports!$C126)</f>
        <v>https://jenkins.werfen.com/job/CustomersPortal/job/Production%20Environment/job/Customers%20Portal%20QA%20Transport/?token=CUSTOMER_PORTAL_PRODUCTION_QA_TRANSPORT</v>
      </c>
      <c r="E44" s="44" t="str">
        <f>Transports!$C$2</f>
        <v>11670cc89254539b7527b5113a68e6edb6</v>
      </c>
      <c r="F44" s="46">
        <f>Transports!$D$3</f>
        <v>45962</v>
      </c>
    </row>
    <row r="45" spans="1:6" s="43" customFormat="1" ht="62.45" customHeight="1">
      <c r="A45" s="41" t="str">
        <f>Transports!F129</f>
        <v>50</v>
      </c>
      <c r="B45" s="41" t="str">
        <f>Transports!$G129</f>
        <v>WerfenTouch Web legacy</v>
      </c>
      <c r="C45" s="42" t="str">
        <f>CONCATENATE("https://jenkins.werfen.com/",Transports!$D129,Transports!$E129,"?token=",Transports!$C129,"&amp;token2=")</f>
        <v>https://jenkins.werfen.com/job/WerfenTouch/job/Backend/job/Production%20Enviroment/job/QA%20Transports/job/Deploy%20to%20prod/buildWithParameters?token=WerfenTouchWebRelease&amp;token2=</v>
      </c>
      <c r="D45" s="42" t="str">
        <f>_xlfn.CONCAT("https://jenkins.werfen.com/",Transports!$D129,"?token=",Transports!$C129)</f>
        <v>https://jenkins.werfen.com/job/WerfenTouch/job/Backend/job/Production%20Enviroment/job/QA%20Transports/job/Deploy%20to%20prod/?token=WerfenTouchWebRelease</v>
      </c>
      <c r="E45" s="44" t="str">
        <f>Transports!$C$2</f>
        <v>11670cc89254539b7527b5113a68e6edb6</v>
      </c>
      <c r="F45" s="46">
        <f>Transports!$D$3</f>
        <v>45962</v>
      </c>
    </row>
    <row r="46" spans="1:6" s="43" customFormat="1" ht="62.45" customHeight="1">
      <c r="A46" s="41" t="str">
        <f>Transports!F132</f>
        <v>51</v>
      </c>
      <c r="B46" s="41" t="str">
        <f>Transports!$G132</f>
        <v>WerfenTouch China Web</v>
      </c>
      <c r="C46" s="42" t="str">
        <f>CONCATENATE("https://jenkins.werfen.com/",Transports!$D132,Transports!$E132,"?token=",Transports!$C132,"&amp;token2=")</f>
        <v>https://jenkins.werfen.com/job/WerfenTouch/job/Production%20environment/job/Websites/job/QA%20Transports/job/WerfenTouch%20China/buildWithParameters?token=WerfenTouchChinaWebRelease&amp;token2=</v>
      </c>
      <c r="D46" s="42" t="str">
        <f>_xlfn.CONCAT("https://jenkins.werfen.com/",Transports!$D132,"?token=",Transports!$C132)</f>
        <v>https://jenkins.werfen.com/job/WerfenTouch/job/Production%20environment/job/Websites/job/QA%20Transports/job/WerfenTouch%20China/?token=WerfenTouchChinaWebRelease</v>
      </c>
      <c r="E46" s="44" t="str">
        <f>Transports!$C$2</f>
        <v>11670cc89254539b7527b5113a68e6edb6</v>
      </c>
      <c r="F46" s="46">
        <f>Transports!$D$3</f>
        <v>45962</v>
      </c>
    </row>
    <row r="47" spans="1:6" s="43" customFormat="1" ht="62.45" customHeight="1">
      <c r="A47" s="41" t="str">
        <f>Transports!F133</f>
        <v>40</v>
      </c>
      <c r="B47" s="41" t="str">
        <f>Transports!$G133</f>
        <v>Accriva Tickets legacy</v>
      </c>
      <c r="C47" s="42" t="str">
        <f>CONCATENATE("https://jenkins.werfen.com/",Transports!$D133,Transports!$E133,"?token=",Transports!$C133,"&amp;token2=")</f>
        <v>https://jenkins.werfen.com/job/AccrivaTickets/job/Production%20Environment/job/Accriva%20Tickets%20QA%20Transport/build?token=ACCRIVA_TICKETS_PRODUCTION_QA_TRANSPORT&amp;token2=</v>
      </c>
      <c r="D47" s="42" t="str">
        <f>_xlfn.CONCAT("https://jenkins.werfen.com/",Transports!$D133,"?token=",Transports!$C133)</f>
        <v>https://jenkins.werfen.com/job/AccrivaTickets/job/Production%20Environment/job/Accriva%20Tickets%20QA%20Transport/?token=ACCRIVA_TICKETS_PRODUCTION_QA_TRANSPORT</v>
      </c>
      <c r="E47" s="44" t="str">
        <f>Transports!$C$2</f>
        <v>11670cc89254539b7527b5113a68e6edb6</v>
      </c>
      <c r="F47" s="46">
        <f>Transports!$D$3</f>
        <v>45962</v>
      </c>
    </row>
    <row r="48" spans="1:6" s="17" customFormat="1">
      <c r="A48" s="13"/>
      <c r="B48" s="14"/>
      <c r="C48" s="15"/>
      <c r="D48" s="15"/>
      <c r="E48" s="15"/>
      <c r="F48" s="47"/>
    </row>
    <row r="49" spans="1:6" s="17" customFormat="1">
      <c r="A49" s="13"/>
      <c r="B49" s="14"/>
      <c r="C49" s="15"/>
      <c r="D49" s="15"/>
      <c r="E49" s="15"/>
      <c r="F49" s="47"/>
    </row>
    <row r="50" spans="1:6" s="17" customFormat="1">
      <c r="A50" s="13"/>
      <c r="B50" s="14"/>
      <c r="C50" s="15"/>
      <c r="D50" s="15"/>
      <c r="E50" s="15"/>
      <c r="F50" s="47"/>
    </row>
    <row r="51" spans="1:6" s="17" customFormat="1">
      <c r="A51" s="13"/>
      <c r="B51" s="14"/>
      <c r="C51" s="15"/>
      <c r="D51" s="15"/>
      <c r="E51" s="15"/>
      <c r="F51" s="47"/>
    </row>
    <row r="52" spans="1:6" s="17" customFormat="1">
      <c r="A52" s="13"/>
      <c r="B52" s="14"/>
      <c r="C52" s="15"/>
      <c r="D52" s="15"/>
      <c r="E52" s="15"/>
      <c r="F52" s="47"/>
    </row>
    <row r="53" spans="1:6" s="17" customFormat="1">
      <c r="A53" s="13"/>
      <c r="B53" s="14"/>
      <c r="C53" s="15"/>
      <c r="D53" s="15"/>
      <c r="E53" s="15"/>
      <c r="F53" s="47"/>
    </row>
    <row r="54" spans="1:6" s="17" customFormat="1">
      <c r="A54" s="13"/>
      <c r="B54" s="14"/>
      <c r="C54" s="15"/>
      <c r="D54" s="15"/>
      <c r="E54" s="15"/>
      <c r="F54" s="47"/>
    </row>
    <row r="55" spans="1:6" s="17" customFormat="1">
      <c r="A55" s="13"/>
      <c r="B55" s="14"/>
      <c r="C55" s="15"/>
      <c r="D55" s="15"/>
      <c r="E55" s="15"/>
      <c r="F55" s="47"/>
    </row>
    <row r="56" spans="1:6" s="17" customFormat="1">
      <c r="A56" s="13"/>
      <c r="B56" s="14"/>
      <c r="C56" s="15"/>
      <c r="D56" s="15"/>
      <c r="E56" s="15"/>
      <c r="F56" s="47"/>
    </row>
    <row r="57" spans="1:6" s="17" customFormat="1">
      <c r="A57" s="13"/>
      <c r="B57" s="14"/>
      <c r="C57" s="15"/>
      <c r="D57" s="15"/>
      <c r="E57" s="15"/>
      <c r="F57" s="47"/>
    </row>
    <row r="58" spans="1:6" s="17" customFormat="1">
      <c r="A58" s="13"/>
      <c r="B58" s="14"/>
      <c r="C58" s="15"/>
      <c r="D58" s="15"/>
      <c r="E58" s="15"/>
      <c r="F58" s="47"/>
    </row>
    <row r="59" spans="1:6" s="17" customFormat="1">
      <c r="A59" s="13"/>
      <c r="B59" s="14"/>
      <c r="C59" s="15"/>
      <c r="D59" s="15"/>
      <c r="E59" s="15"/>
      <c r="F59" s="47"/>
    </row>
    <row r="60" spans="1:6" s="17" customFormat="1">
      <c r="A60" s="13"/>
      <c r="B60" s="14"/>
      <c r="C60" s="15"/>
      <c r="D60" s="15"/>
      <c r="E60" s="15"/>
      <c r="F60" s="47"/>
    </row>
    <row r="61" spans="1:6" s="17" customFormat="1">
      <c r="A61" s="13"/>
      <c r="B61" s="14"/>
      <c r="C61" s="15"/>
      <c r="D61" s="15"/>
      <c r="E61" s="15"/>
      <c r="F61" s="47"/>
    </row>
    <row r="62" spans="1:6" s="17" customFormat="1">
      <c r="A62" s="13"/>
      <c r="B62" s="14"/>
      <c r="C62" s="15"/>
      <c r="D62" s="15"/>
      <c r="E62" s="15"/>
      <c r="F62" s="47"/>
    </row>
  </sheetData>
  <autoFilter ref="A1:F47" xr:uid="{7961D7A3-B0E8-471B-B489-89BD91E2F655}"/>
  <phoneticPr fontId="7" type="noConversion"/>
  <pageMargins left="0.7" right="0.7" top="0.75" bottom="0.75" header="0.3" footer="0.3"/>
  <pageSetup paperSize="9" orientation="portrait" horizontalDpi="0" verticalDpi="0"/>
  <headerFooter>
    <oddFooter>&amp;C_x000D_&amp;1#&amp;"Calibri"&amp;8&amp;K000000           © Werfen All rights reserved. Confidential. For internal use only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4D0CC-306B-4CC3-889B-5C66BC311536}">
  <sheetPr filterMode="1"/>
  <dimension ref="A1:E61"/>
  <sheetViews>
    <sheetView zoomScale="70" zoomScaleNormal="130" workbookViewId="0">
      <pane ySplit="1" topLeftCell="A47" activePane="bottomLeft" state="frozen"/>
      <selection pane="bottomLeft"/>
    </sheetView>
  </sheetViews>
  <sheetFormatPr defaultColWidth="10.75" defaultRowHeight="15.75"/>
  <cols>
    <col min="1" max="1" width="24.75" style="7" bestFit="1" customWidth="1"/>
    <col min="2" max="2" width="72.25" style="10" customWidth="1"/>
    <col min="3" max="3" width="74.125" style="10" hidden="1" customWidth="1"/>
    <col min="4" max="4" width="38.375" style="10" bestFit="1" customWidth="1"/>
    <col min="5" max="5" width="10.25" style="10" bestFit="1" customWidth="1"/>
    <col min="6" max="16384" width="10.75" style="1"/>
  </cols>
  <sheetData>
    <row r="1" spans="1:5" s="12" customFormat="1" ht="17.25" customHeight="1" thickBot="1">
      <c r="A1" s="53" t="s">
        <v>501</v>
      </c>
      <c r="B1" s="54" t="s">
        <v>502</v>
      </c>
      <c r="C1" s="33" t="s">
        <v>503</v>
      </c>
      <c r="D1" s="33" t="s">
        <v>504</v>
      </c>
      <c r="E1" s="33" t="s">
        <v>505</v>
      </c>
    </row>
    <row r="2" spans="1:5" s="43" customFormat="1" ht="47.25" hidden="1">
      <c r="A2" s="51" t="str">
        <f>Transports!$G5</f>
        <v>All werfen  sites legacy</v>
      </c>
      <c r="B2" s="42" t="str">
        <f>CONCATENATE("https://jenkins.werfen.com/",Transports!$D5,Transports!$E5,"?token=",Transports!$C5,"&amp;token2=")</f>
        <v>https://jenkins.werfen.com/job/Werfen%20websites/job/Production%20environment/job/QA%20Transports/job/All%20werfen.com%20sites/build?token=WerfenALLRelease&amp;token2=</v>
      </c>
      <c r="C2" s="42" t="str">
        <f>_xlfn.CONCAT("https://jenkins.werfen.com/",Transports!$D5,"?token=",Transports!$C5)</f>
        <v>https://jenkins.werfen.com/job/Werfen%20websites/job/Production%20environment/job/QA%20Transports/job/All%20werfen.com%20sites/?token=WerfenALLRelease</v>
      </c>
      <c r="D2" s="52" t="str">
        <f>Transports!$C$2</f>
        <v>11670cc89254539b7527b5113a68e6edb6</v>
      </c>
      <c r="E2" s="52">
        <f>Transports!$D$3</f>
        <v>45962</v>
      </c>
    </row>
    <row r="3" spans="1:5" s="43" customFormat="1" ht="52.9" hidden="1" customHeight="1">
      <c r="A3" s="51" t="str">
        <f>Transports!$G8</f>
        <v>Website Czechia legacy</v>
      </c>
      <c r="B3" s="42" t="str">
        <f>CONCATENATE("https://jenkins.werfen.com/",Transports!$D8,Transports!$E8,"?token=",Transports!$C8,"&amp;token2=")</f>
        <v>https://jenkins.werfen.com/job/Werfen%20websites/job/Production%20environment/job/QA%20Transports/job/Werfen%20CZ/buildWithParameters?token=WerfenCZRelease&amp;token2=</v>
      </c>
      <c r="C3" s="42" t="str">
        <f>_xlfn.CONCAT("https://jenkins.werfen.com/",Transports!$D8,"?token=",Transports!$C8)</f>
        <v>https://jenkins.werfen.com/job/Werfen%20websites/job/Production%20environment/job/QA%20Transports/job/Werfen%20CZ/?token=WerfenCZRelease</v>
      </c>
      <c r="D3" s="52" t="str">
        <f>Transports!$C$2</f>
        <v>11670cc89254539b7527b5113a68e6edb6</v>
      </c>
      <c r="E3" s="52">
        <f>Transports!$D$3</f>
        <v>45962</v>
      </c>
    </row>
    <row r="4" spans="1:5" s="43" customFormat="1" ht="52.35" hidden="1" customHeight="1">
      <c r="A4" s="51" t="str">
        <f>Transports!$G11</f>
        <v>Website Russia legacy</v>
      </c>
      <c r="B4" s="42" t="str">
        <f>CONCATENATE("https://jenkins.werfen.com/",Transports!$D11,Transports!$E11,"?token=",Transports!$C11,"&amp;token2=")</f>
        <v>https://jenkins.werfen.com/job/Werfen%20websites/job/Production%20environment/job/QA%20Transports/job/Werfen%20RU/buildWithParameters?token=WerfenRURelease&amp;token2=</v>
      </c>
      <c r="C4" s="42" t="str">
        <f>_xlfn.CONCAT("https://jenkins.werfen.com/",Transports!$D11,"?token=",Transports!$C11)</f>
        <v>https://jenkins.werfen.com/job/Werfen%20websites/job/Production%20environment/job/QA%20Transports/job/Werfen%20RU/?token=WerfenRURelease</v>
      </c>
      <c r="D4" s="52" t="str">
        <f>Transports!$C$2</f>
        <v>11670cc89254539b7527b5113a68e6edb6</v>
      </c>
      <c r="E4" s="52">
        <f>Transports!$D$3</f>
        <v>45962</v>
      </c>
    </row>
    <row r="5" spans="1:5" s="43" customFormat="1" ht="49.9" hidden="1" customHeight="1">
      <c r="A5" s="51" t="str">
        <f>Transports!$G14</f>
        <v>Website AUSTRALIA legacy</v>
      </c>
      <c r="B5" s="42" t="str">
        <f>CONCATENATE("https://jenkins.werfen.com/",Transports!$D14,Transports!$E14,"?token=",Transports!$C14,"&amp;token2=")</f>
        <v>https://jenkins.werfen.com/job/Werfen%20websites/job/Production%20environment/job/QA%20Transports/job/Werfen%20AU/buildWithParameters?token=WerfenAURelease&amp;token2=</v>
      </c>
      <c r="C5" s="42" t="str">
        <f>_xlfn.CONCAT("https://jenkins.werfen.com/",Transports!$D14,"?token=",Transports!$C14)</f>
        <v>https://jenkins.werfen.com/job/Werfen%20websites/job/Production%20environment/job/QA%20Transports/job/Werfen%20AU/?token=WerfenAURelease</v>
      </c>
      <c r="D5" s="52" t="str">
        <f>Transports!$C$2</f>
        <v>11670cc89254539b7527b5113a68e6edb6</v>
      </c>
      <c r="E5" s="52">
        <f>Transports!$D$3</f>
        <v>45962</v>
      </c>
    </row>
    <row r="6" spans="1:5" s="43" customFormat="1" ht="36.6" hidden="1" customHeight="1">
      <c r="A6" s="51" t="str">
        <f>Transports!$G17</f>
        <v>WeListen legacy</v>
      </c>
      <c r="B6" s="42" t="str">
        <f>CONCATENATE("https://jenkins.werfen.com/",Transports!$D17,Transports!$E17,"?token=",Transports!$C17,"&amp;token2=")</f>
        <v>https://jenkins.werfen.com/job/WeListen/job/Production%20environment/job/QA%20Transports/job/Deploy%20site/buildWithParameters?token=welistenRelease&amp;token2=</v>
      </c>
      <c r="C6" s="42" t="str">
        <f>_xlfn.CONCAT("https://jenkins.werfen.com/",Transports!$D17,"?token=",Transports!$C17)</f>
        <v>https://jenkins.werfen.com/job/WeListen/job/Production%20environment/job/QA%20Transports/job/Deploy%20site/?token=welistenRelease</v>
      </c>
      <c r="D6" s="52" t="str">
        <f>Transports!$C$2</f>
        <v>11670cc89254539b7527b5113a68e6edb6</v>
      </c>
      <c r="E6" s="52">
        <f>Transports!$D$3</f>
        <v>45962</v>
      </c>
    </row>
    <row r="7" spans="1:5" s="43" customFormat="1" ht="47.25" hidden="1">
      <c r="A7" s="51" t="str">
        <f>Transports!$G20</f>
        <v>Website FRANCE legacy</v>
      </c>
      <c r="B7" s="42" t="str">
        <f>CONCATENATE("https://jenkins.werfen.com/",Transports!$D20,Transports!$E20,"?token=",Transports!$C20,"&amp;token2=")</f>
        <v>https://jenkins.werfen.com/job/Werfen%20websites/job/Production%20environment/job/QA%20Transports/job/Werfen%20FR/buildWithParameters?token=WerfenFRRelease&amp;token2=</v>
      </c>
      <c r="C7" s="42" t="str">
        <f>_xlfn.CONCAT("https://jenkins.werfen.com/",Transports!$D20,"?token=",Transports!$C20)</f>
        <v>https://jenkins.werfen.com/job/Werfen%20websites/job/Production%20environment/job/QA%20Transports/job/Werfen%20FR/?token=WerfenFRRelease</v>
      </c>
      <c r="D7" s="52" t="str">
        <f>Transports!$C$2</f>
        <v>11670cc89254539b7527b5113a68e6edb6</v>
      </c>
      <c r="E7" s="52">
        <f>Transports!$D$3</f>
        <v>45962</v>
      </c>
    </row>
    <row r="8" spans="1:5" s="43" customFormat="1" ht="47.25" hidden="1">
      <c r="A8" s="51" t="str">
        <f>Transports!$G24</f>
        <v>Website Italy release</v>
      </c>
      <c r="B8" s="42" t="str">
        <f>CONCATENATE("https://jenkins.werfen.com/",Transports!$D24,Transports!$E24,"?token=",Transports!$C24,"&amp;token2=")</f>
        <v>https://jenkins.werfen.com/job/Werfen%20websites/job/Production%20environment/job/QA%20Transports/job/Werfen%20IT%20release/buildWithParameters?token=WerfenITRelease1&amp;token2=</v>
      </c>
      <c r="C8" s="42" t="str">
        <f>_xlfn.CONCAT("https://jenkins.werfen.com/",Transports!$D24,"?token=",Transports!$C24)</f>
        <v>https://jenkins.werfen.com/job/Werfen%20websites/job/Production%20environment/job/QA%20Transports/job/Werfen%20IT%20release/?token=WerfenITRelease1</v>
      </c>
      <c r="D8" s="52" t="str">
        <f>Transports!$C$2</f>
        <v>11670cc89254539b7527b5113a68e6edb6</v>
      </c>
      <c r="E8" s="52">
        <f>Transports!$D$3</f>
        <v>45962</v>
      </c>
    </row>
    <row r="9" spans="1:5" s="43" customFormat="1" ht="36" hidden="1" customHeight="1">
      <c r="A9" s="51" t="str">
        <f>Transports!$G26</f>
        <v>Website UK legacy</v>
      </c>
      <c r="B9" s="42" t="str">
        <f>CONCATENATE("https://jenkins.werfen.com/",Transports!$D26,Transports!$E26,"?token=",Transports!$C26,"&amp;token2=")</f>
        <v>https://jenkins.werfen.com/job/Werfen%20websites/job/Production%20environment/job/QA%20Transports/job/Werfen%20UK/buildWithParameters?token=WerfenUKRelease&amp;token2=</v>
      </c>
      <c r="C9" s="42" t="str">
        <f>_xlfn.CONCAT("https://jenkins.werfen.com/",Transports!$D26,"?token=",Transports!$C26)</f>
        <v>https://jenkins.werfen.com/job/Werfen%20websites/job/Production%20environment/job/QA%20Transports/job/Werfen%20UK/?token=WerfenUKRelease</v>
      </c>
      <c r="D9" s="52" t="str">
        <f>Transports!$C$2</f>
        <v>11670cc89254539b7527b5113a68e6edb6</v>
      </c>
      <c r="E9" s="52">
        <f>Transports!$D$3</f>
        <v>45962</v>
      </c>
    </row>
    <row r="10" spans="1:5" s="43" customFormat="1" ht="36" hidden="1" customHeight="1">
      <c r="A10" s="51" t="str">
        <f>Transports!$G29</f>
        <v>Website Corporate legacy</v>
      </c>
      <c r="B10" s="42" t="str">
        <f>CONCATENATE("https://jenkins.werfen.com/",Transports!$D29,Transports!$E29,"?token=",Transports!$C29,"&amp;token2=")</f>
        <v>https://jenkins.werfen.com/job/Werfen%20websites/job/Production%20environment/job/QA%20Transports/job/Werfen%20WW/buildWithParameters?token=WerfenWWRelease&amp;token2=</v>
      </c>
      <c r="C10" s="42" t="str">
        <f>_xlfn.CONCAT("https://jenkins.werfen.com/",Transports!$D29,"?token=",Transports!$C29)</f>
        <v>https://jenkins.werfen.com/job/Werfen%20websites/job/Production%20environment/job/QA%20Transports/job/Werfen%20WW/?token=WerfenWWRelease</v>
      </c>
      <c r="D10" s="52" t="str">
        <f>Transports!$C$2</f>
        <v>11670cc89254539b7527b5113a68e6edb6</v>
      </c>
      <c r="E10" s="52">
        <f>Transports!$D$3</f>
        <v>45962</v>
      </c>
    </row>
    <row r="11" spans="1:5" s="43" customFormat="1" ht="36" hidden="1" customHeight="1">
      <c r="A11" s="51" t="str">
        <f>Transports!$G32</f>
        <v>Website Mexico legacy</v>
      </c>
      <c r="B11" s="42" t="str">
        <f>CONCATENATE("https://jenkins.werfen.com/",Transports!$D32,Transports!$E32,"?token=",Transports!$C32,"&amp;token2=")</f>
        <v>https://jenkins.werfen.com/job/Werfen%20websites/job/Production%20environment/job/QA%20Transports/job/Werfen%20MX/buildWithParameters?token=WerfenMXRelease&amp;token2=</v>
      </c>
      <c r="C11" s="42" t="str">
        <f>_xlfn.CONCAT("https://jenkins.werfen.com/",Transports!$D32,"?token=",Transports!$C32)</f>
        <v>https://jenkins.werfen.com/job/Werfen%20websites/job/Production%20environment/job/QA%20Transports/job/Werfen%20MX/?token=WerfenMXRelease</v>
      </c>
      <c r="D11" s="52" t="str">
        <f>Transports!$C$2</f>
        <v>11670cc89254539b7527b5113a68e6edb6</v>
      </c>
      <c r="E11" s="52">
        <f>Transports!$D$3</f>
        <v>45962</v>
      </c>
    </row>
    <row r="12" spans="1:5" s="43" customFormat="1" ht="50.45" hidden="1" customHeight="1">
      <c r="A12" s="51" t="str">
        <f>Transports!$G35</f>
        <v>Website Spain legacy</v>
      </c>
      <c r="B12" s="42" t="str">
        <f>CONCATENATE("https://jenkins.werfen.com/",Transports!$D35,Transports!$E35,"?token=",Transports!$C35,"&amp;token2=")</f>
        <v>https://jenkins.werfen.com/job/Werfen%20websites/job/Production%20environment/job/QA%20Transports/job/Werfen%20ES/buildWithParameters?token=WerfenESRelease&amp;token2=</v>
      </c>
      <c r="C12" s="42" t="str">
        <f>_xlfn.CONCAT("https://jenkins.werfen.com/",Transports!$D35,"?token=",Transports!$C35)</f>
        <v>https://jenkins.werfen.com/job/Werfen%20websites/job/Production%20environment/job/QA%20Transports/job/Werfen%20ES/?token=WerfenESRelease</v>
      </c>
      <c r="D12" s="52" t="str">
        <f>Transports!$C$2</f>
        <v>11670cc89254539b7527b5113a68e6edb6</v>
      </c>
      <c r="E12" s="52">
        <f>Transports!$D$3</f>
        <v>45962</v>
      </c>
    </row>
    <row r="13" spans="1:5" s="43" customFormat="1" ht="37.5" hidden="1" customHeight="1">
      <c r="A13" s="51" t="str">
        <f>Transports!$G38</f>
        <v>Website Benelux legacy</v>
      </c>
      <c r="B13" s="42" t="str">
        <f>CONCATENATE("https://jenkins.werfen.com/",Transports!$D38,Transports!$E38,"?token=",Transports!$C38,"&amp;token2=")</f>
        <v>https://jenkins.werfen.com/job/Werfen%20websites/job/Production%20environment/job/QA%20Transports/job/Werfen%20Benelux/buildWithParameters?token=WerfenBeneluxRelease&amp;token2=</v>
      </c>
      <c r="C13" s="42" t="str">
        <f>_xlfn.CONCAT("https://jenkins.werfen.com/",Transports!$D38,"?token=",Transports!$C38)</f>
        <v>https://jenkins.werfen.com/job/Werfen%20websites/job/Production%20environment/job/QA%20Transports/job/Werfen%20Benelux/?token=WerfenBeneluxRelease</v>
      </c>
      <c r="D13" s="52" t="str">
        <f>Transports!$C$2</f>
        <v>11670cc89254539b7527b5113a68e6edb6</v>
      </c>
      <c r="E13" s="52">
        <f>Transports!$D$3</f>
        <v>45962</v>
      </c>
    </row>
    <row r="14" spans="1:5" s="43" customFormat="1" ht="31.5" hidden="1">
      <c r="A14" s="51" t="str">
        <f>Transports!$G41</f>
        <v>SSM web legacy</v>
      </c>
      <c r="B14" s="42" t="str">
        <f>CONCATENATE("https://jenkins.werfen.com/",Transports!$D41,Transports!$E41,"?token=",Transports!$C41,"&amp;token2=")</f>
        <v>https://jenkins.werfen.com/job/WeNet/job/Production%20environment/job/QA%20Transports/job/SSM%20website/buildWithParameters?token=wenetSSMweb&amp;token2=</v>
      </c>
      <c r="C14" s="42" t="str">
        <f>_xlfn.CONCAT("https://jenkins.werfen.com/",Transports!$D41,"?token=",Transports!$C41)</f>
        <v>https://jenkins.werfen.com/job/WeNet/job/Production%20environment/job/QA%20Transports/job/SSM%20website/?token=wenetSSMweb</v>
      </c>
      <c r="D14" s="52" t="str">
        <f>Transports!$C$2</f>
        <v>11670cc89254539b7527b5113a68e6edb6</v>
      </c>
      <c r="E14" s="52">
        <f>Transports!$D$3</f>
        <v>45962</v>
      </c>
    </row>
    <row r="15" spans="1:5" s="43" customFormat="1" ht="43.35" hidden="1" customHeight="1">
      <c r="A15" s="51" t="str">
        <f>Transports!$G42</f>
        <v>WeNet legacy</v>
      </c>
      <c r="B15" s="42" t="str">
        <f>CONCATENATE("https://jenkins.werfen.com/",Transports!$D42,Transports!$E42,"?token=",Transports!$C42,"&amp;token2=")</f>
        <v>https://jenkins.werfen.com/job/WeNet/job/Production%20environment/job/QA%20Transports/job/Deploy%20site/buildWithParameters?token=wenetRelease&amp;token2=</v>
      </c>
      <c r="C15" s="42" t="str">
        <f>_xlfn.CONCAT("https://jenkins.werfen.com/",Transports!$D42,"?token=",Transports!$C42)</f>
        <v>https://jenkins.werfen.com/job/WeNet/job/Production%20environment/job/QA%20Transports/job/Deploy%20site/?token=wenetRelease</v>
      </c>
      <c r="D15" s="52" t="str">
        <f>Transports!$C$2</f>
        <v>11670cc89254539b7527b5113a68e6edb6</v>
      </c>
      <c r="E15" s="52">
        <f>Transports!$D$3</f>
        <v>45962</v>
      </c>
    </row>
    <row r="16" spans="1:5" s="43" customFormat="1" ht="47.25" hidden="1">
      <c r="A16" s="51" t="str">
        <f>Transports!$G45</f>
        <v>Website BI (QlikSense) legacy</v>
      </c>
      <c r="B16" s="42" t="str">
        <f>CONCATENATE("https://jenkins.werfen.com/",Transports!$D45,Transports!$E45,"?token=",Transports!$C45,"&amp;token2=")</f>
        <v>https://jenkins.werfen.com/job/Werfen%20websites/job/Production%20environment/job/QA%20Transports/job/QLikSense%20Release/buildWithParameters?token=QlikSenseRelease&amp;token2=</v>
      </c>
      <c r="C16" s="42" t="str">
        <f>_xlfn.CONCAT("https://jenkins.werfen.com/",Transports!$D45,"?token=",Transports!$C45)</f>
        <v>https://jenkins.werfen.com/job/Werfen%20websites/job/Production%20environment/job/QA%20Transports/job/QLikSense%20Release/?token=QlikSenseRelease</v>
      </c>
      <c r="D16" s="52" t="str">
        <f>Transports!$C$2</f>
        <v>11670cc89254539b7527b5113a68e6edb6</v>
      </c>
      <c r="E16" s="52">
        <f>Transports!$D$3</f>
        <v>45962</v>
      </c>
    </row>
    <row r="17" spans="1:5" s="43" customFormat="1" ht="33" hidden="1" customHeight="1">
      <c r="A17" s="51" t="str">
        <f>Transports!$G48</f>
        <v>Website Germany legacy</v>
      </c>
      <c r="B17" s="42" t="str">
        <f>CONCATENATE("https://jenkins.werfen.com/",Transports!$D48,Transports!$E48,"?token=",Transports!$C48,"&amp;token2=")</f>
        <v>https://jenkins.werfen.com/job/Werfen%20websites/job/Production%20environment/job/QA%20Transports/job/Werfen%20DE/buildWithParameters?token=WerfenDERelease&amp;token2=</v>
      </c>
      <c r="C17" s="42" t="str">
        <f>_xlfn.CONCAT("https://jenkins.werfen.com/",Transports!$D48,"?token=",Transports!$C48)</f>
        <v>https://jenkins.werfen.com/job/Werfen%20websites/job/Production%20environment/job/QA%20Transports/job/Werfen%20DE/?token=WerfenDERelease</v>
      </c>
      <c r="D17" s="52" t="str">
        <f>Transports!$C$2</f>
        <v>11670cc89254539b7527b5113a68e6edb6</v>
      </c>
      <c r="E17" s="52">
        <f>Transports!$D$3</f>
        <v>45962</v>
      </c>
    </row>
    <row r="18" spans="1:5" s="43" customFormat="1" ht="33" hidden="1" customHeight="1">
      <c r="A18" s="51" t="str">
        <f>Transports!$G51</f>
        <v>Website Brazil legacy</v>
      </c>
      <c r="B18" s="42" t="str">
        <f>CONCATENATE("https://jenkins.werfen.com/",Transports!$D51,Transports!$E51,"?token=",Transports!$C51,"&amp;token2=")</f>
        <v>https://jenkins.werfen.com/job/Werfen%20websites/job/Production%20environment/job/QA%20Transports/job/Werfen%20BR/buildWithParameters?token=WerfenBRRelease&amp;token2=</v>
      </c>
      <c r="C18" s="42" t="str">
        <f>_xlfn.CONCAT("https://jenkins.werfen.com/",Transports!$D51,"?token=",Transports!$C51)</f>
        <v>https://jenkins.werfen.com/job/Werfen%20websites/job/Production%20environment/job/QA%20Transports/job/Werfen%20BR/?token=WerfenBRRelease</v>
      </c>
      <c r="D18" s="52" t="str">
        <f>Transports!$C$2</f>
        <v>11670cc89254539b7527b5113a68e6edb6</v>
      </c>
      <c r="E18" s="52">
        <f>Transports!$D$3</f>
        <v>45962</v>
      </c>
    </row>
    <row r="19" spans="1:5" s="43" customFormat="1" ht="33" hidden="1" customHeight="1">
      <c r="A19" s="51" t="str">
        <f>Transports!$G54</f>
        <v>Website Leventon legacy</v>
      </c>
      <c r="B19" s="42" t="str">
        <f>CONCATENATE("https://jenkins.werfen.com/",Transports!$D54,Transports!$E54,"?token=",Transports!$C54,"&amp;token2=")</f>
        <v>https://jenkins.werfen.com/job/Werfen%20websites/job/Production%20environment/job/QA%20Transports/job/Leventon/buildWithParameters?token=LeventonRelease&amp;token2=</v>
      </c>
      <c r="C19" s="42" t="str">
        <f>_xlfn.CONCAT("https://jenkins.werfen.com/",Transports!$D54,"?token=",Transports!$C54)</f>
        <v>https://jenkins.werfen.com/job/Werfen%20websites/job/Production%20environment/job/QA%20Transports/job/Leventon/?token=LeventonRelease</v>
      </c>
      <c r="D19" s="52" t="str">
        <f>Transports!$C$2</f>
        <v>11670cc89254539b7527b5113a68e6edb6</v>
      </c>
      <c r="E19" s="52">
        <f>Transports!$D$3</f>
        <v>45962</v>
      </c>
    </row>
    <row r="20" spans="1:5" s="43" customFormat="1" ht="60.75" hidden="1" customHeight="1">
      <c r="A20" s="51" t="str">
        <f>Transports!$G59</f>
        <v>Website Portugal hotfix</v>
      </c>
      <c r="B20" s="42" t="str">
        <f>CONCATENATE("https://jenkins.werfen.com/",Transports!$D59,Transports!$E59,"?token=",Transports!$C59,"&amp;token2=")</f>
        <v>https://jenkins.werfen.com/job/Werfen%20websites/job/Production%20environment/job/QA%20Transports/job/Werfen%20PT%20hotfix/buildWithParameters?token=WerfenPTHotifx&amp;token2=</v>
      </c>
      <c r="C20" s="42" t="str">
        <f>_xlfn.CONCAT("https://jenkins.werfen.com/",Transports!$D59,"?token=",Transports!$C59)</f>
        <v>https://jenkins.werfen.com/job/Werfen%20websites/job/Production%20environment/job/QA%20Transports/job/Werfen%20PT%20hotfix/?token=WerfenPTHotifx</v>
      </c>
      <c r="D20" s="52" t="str">
        <f>Transports!$C$2</f>
        <v>11670cc89254539b7527b5113a68e6edb6</v>
      </c>
      <c r="E20" s="52">
        <f>Transports!$D$3</f>
        <v>45962</v>
      </c>
    </row>
    <row r="21" spans="1:5" s="43" customFormat="1" ht="37.35" hidden="1" customHeight="1">
      <c r="A21" s="51" t="str">
        <f>Transports!$G60</f>
        <v>Website Korea legacy</v>
      </c>
      <c r="B21" s="42" t="str">
        <f>CONCATENATE("https://jenkins.werfen.com/",Transports!$D60,Transports!$E60,"?token=",Transports!$C60,"&amp;token2=")</f>
        <v>https://jenkins.werfen.com/job/Werfen%20websites/job/Production%20environment/job/QA%20Transports/job/Werfen%20KR/buildWithParameters?token=WerfenKRRelease&amp;token2=</v>
      </c>
      <c r="C21" s="42" t="str">
        <f>_xlfn.CONCAT("https://jenkins.werfen.com/",Transports!$D60,"?token=",Transports!$C60)</f>
        <v>https://jenkins.werfen.com/job/Werfen%20websites/job/Production%20environment/job/QA%20Transports/job/Werfen%20KR/?token=WerfenKRRelease</v>
      </c>
      <c r="D21" s="52" t="str">
        <f>Transports!$C$2</f>
        <v>11670cc89254539b7527b5113a68e6edb6</v>
      </c>
      <c r="E21" s="52">
        <f>Transports!$D$3</f>
        <v>45962</v>
      </c>
    </row>
    <row r="22" spans="1:5" s="43" customFormat="1" ht="45" hidden="1" customHeight="1">
      <c r="A22" s="51" t="str">
        <f>Transports!$G63</f>
        <v>Website Japan legacy</v>
      </c>
      <c r="B22" s="42" t="str">
        <f>CONCATENATE("https://jenkins.werfen.com/",Transports!$D63,Transports!$E63,"?token=",Transports!$C63,"&amp;token2=")</f>
        <v>https://jenkins.werfen.com/job/Werfen%20websites/job/Production%20environment/job/QA%20Transports/job/Werfen%20JP/buildWithParameters?token=WerfenJPRelease&amp;token2=</v>
      </c>
      <c r="C22" s="42" t="str">
        <f>_xlfn.CONCAT("https://jenkins.werfen.com/",Transports!$D63,"?token=",Transports!$C63)</f>
        <v>https://jenkins.werfen.com/job/Werfen%20websites/job/Production%20environment/job/QA%20Transports/job/Werfen%20JP/?token=WerfenJPRelease</v>
      </c>
      <c r="D22" s="52" t="str">
        <f>Transports!$C$2</f>
        <v>11670cc89254539b7527b5113a68e6edb6</v>
      </c>
      <c r="E22" s="52">
        <f>Transports!$D$3</f>
        <v>45962</v>
      </c>
    </row>
    <row r="23" spans="1:5" s="43" customFormat="1" ht="62.45" hidden="1" customHeight="1">
      <c r="A23" s="51" t="str">
        <f>Transports!$G66</f>
        <v>Website China AWS legacy</v>
      </c>
      <c r="B23" s="42" t="str">
        <f>CONCATENATE("https://jenkins.werfen.com/",Transports!$D66,Transports!$E66,"?token=",Transports!$C66,"&amp;token2=")</f>
        <v>https://jenkins.werfen.com/job/Werfen%20websites/job/Production%20environment/job/QA%20Transports/job/Werfen%20CN%20-%20AWS/build?token=WerfenCNRelease&amp;token2=</v>
      </c>
      <c r="C23" s="42" t="str">
        <f>_xlfn.CONCAT("https://jenkins.werfen.com/",Transports!$D66,"?token=",Transports!$C66)</f>
        <v>https://jenkins.werfen.com/job/Werfen%20websites/job/Production%20environment/job/QA%20Transports/job/Werfen%20CN%20-%20AWS/?token=WerfenCNRelease</v>
      </c>
      <c r="D23" s="52" t="str">
        <f>Transports!$C$2</f>
        <v>11670cc89254539b7527b5113a68e6edb6</v>
      </c>
      <c r="E23" s="52">
        <f>Transports!$D$3</f>
        <v>45962</v>
      </c>
    </row>
    <row r="24" spans="1:5" s="43" customFormat="1" ht="62.45" hidden="1" customHeight="1">
      <c r="A24" s="51" t="str">
        <f>Transports!$G69</f>
        <v>Website OEM legacy</v>
      </c>
      <c r="B24" s="42" t="str">
        <f>CONCATENATE("https://jenkins.werfen.com/",Transports!$D69,Transports!$E69,"?token=",Transports!$C69,"&amp;token2=")</f>
        <v>https://jenkins.werfen.com/job/Werfen%20websites/job/Production%20environment/job/QA%20Transports/job/Werfen%20OEM/buildWithParameters?token=WerfenOEMRelease&amp;token2=</v>
      </c>
      <c r="C24" s="42" t="str">
        <f>_xlfn.CONCAT("https://jenkins.werfen.com/",Transports!$D69,"?token=",Transports!$C69)</f>
        <v>https://jenkins.werfen.com/job/Werfen%20websites/job/Production%20environment/job/QA%20Transports/job/Werfen%20OEM/?token=WerfenOEMRelease</v>
      </c>
      <c r="D24" s="52" t="str">
        <f>Transports!$C$2</f>
        <v>11670cc89254539b7527b5113a68e6edb6</v>
      </c>
      <c r="E24" s="52">
        <f>Transports!$D$3</f>
        <v>45962</v>
      </c>
    </row>
    <row r="25" spans="1:5" s="43" customFormat="1" ht="62.45" hidden="1" customHeight="1">
      <c r="A25" s="51" t="str">
        <f>Transports!$G72</f>
        <v>Website NoAm legacy</v>
      </c>
      <c r="B25" s="42" t="str">
        <f>CONCATENATE("https://jenkins.werfen.com/",Transports!$D72,Transports!$E72,"?token=",Transports!$C72,"&amp;token2=")</f>
        <v>https://jenkins.werfen.com/job/Werfen%20websites/job/Production%20environment/job/QA%20Transports/job/Werfen%20NoAm/buildWithParameters?token=WerfenNoAmRelease&amp;token2=</v>
      </c>
      <c r="C25" s="42" t="str">
        <f>_xlfn.CONCAT("https://jenkins.werfen.com/",Transports!$D72,"?token=",Transports!$C72)</f>
        <v>https://jenkins.werfen.com/job/Werfen%20websites/job/Production%20environment/job/QA%20Transports/job/Werfen%20NoAm/?token=WerfenNoAmRelease</v>
      </c>
      <c r="D25" s="52" t="str">
        <f>Transports!$C$2</f>
        <v>11670cc89254539b7527b5113a68e6edb6</v>
      </c>
      <c r="E25" s="52">
        <f>Transports!$D$3</f>
        <v>45962</v>
      </c>
    </row>
    <row r="26" spans="1:5" s="43" customFormat="1" ht="62.45" hidden="1" customHeight="1">
      <c r="A26" s="51" t="str">
        <f>Transports!$G75</f>
        <v>Website Austria legacy</v>
      </c>
      <c r="B26" s="42" t="str">
        <f>CONCATENATE("https://jenkins.werfen.com/",Transports!$D75,Transports!$E75,"?token=",Transports!$C75,"&amp;token2=")</f>
        <v>https://jenkins.werfen.com/job/Werfen%20websites/job/Production%20environment/job/QA%20Transports/job/Werfen%20AT/buildWithParameters?token=WerfenATRelease&amp;token2=</v>
      </c>
      <c r="C26" s="42" t="str">
        <f>_xlfn.CONCAT("https://jenkins.werfen.com/",Transports!$D75,"?token=",Transports!$C75)</f>
        <v>https://jenkins.werfen.com/job/Werfen%20websites/job/Production%20environment/job/QA%20Transports/job/Werfen%20AT/?token=WerfenATRelease</v>
      </c>
      <c r="D26" s="52" t="str">
        <f>Transports!$C$2</f>
        <v>11670cc89254539b7527b5113a68e6edb6</v>
      </c>
      <c r="E26" s="52">
        <f>Transports!$D$3</f>
        <v>45962</v>
      </c>
    </row>
    <row r="27" spans="1:5" s="43" customFormat="1" ht="62.45" hidden="1" customHeight="1">
      <c r="A27" s="51" t="str">
        <f>Transports!$G76</f>
        <v>TicketLine legacy</v>
      </c>
      <c r="B27" s="42" t="str">
        <f>CONCATENATE("https://jenkins.werfen.com/",Transports!$D76,Transports!$E76,"?token=",Transports!$C76,"&amp;token2=")</f>
        <v>https://jenkins.werfen.com/job/TicketLine/job/Production%20Environment/job/QA%20Transports/job/TicketLine/buildWithParameters?token=TicketLineRelease&amp;token2=</v>
      </c>
      <c r="C27" s="42" t="str">
        <f>_xlfn.CONCAT("https://jenkins.werfen.com/",Transports!$D76,"?token=",Transports!$C76)</f>
        <v>https://jenkins.werfen.com/job/TicketLine/job/Production%20Environment/job/QA%20Transports/job/TicketLine/?token=TicketLineRelease</v>
      </c>
      <c r="D27" s="52" t="str">
        <f>Transports!$C$2</f>
        <v>11670cc89254539b7527b5113a68e6edb6</v>
      </c>
      <c r="E27" s="52">
        <f>Transports!$D$3</f>
        <v>45962</v>
      </c>
    </row>
    <row r="28" spans="1:5" s="43" customFormat="1" ht="62.45" hidden="1" customHeight="1">
      <c r="A28" s="51" t="str">
        <f>Transports!$G81</f>
        <v>Solr Middleware legacy</v>
      </c>
      <c r="B28" s="42" t="str">
        <f>CONCATENATE("https://jenkins.werfen.com/",Transports!$D81,Transports!$E81,"?token=",Transports!$C81,"&amp;token2=")</f>
        <v>https://jenkins.werfen.com/job/TicketLine/job/Production%20Environment/job/QA%20Transports/job/Solr%20Middleware/build?token=SolrMiddlewareRelease&amp;token2=</v>
      </c>
      <c r="C28" s="42" t="str">
        <f>_xlfn.CONCAT("https://jenkins.werfen.com/",Transports!$D81,"?token=",Transports!$C81)</f>
        <v>https://jenkins.werfen.com/job/TicketLine/job/Production%20Environment/job/QA%20Transports/job/Solr%20Middleware/?token=SolrMiddlewareRelease</v>
      </c>
      <c r="D28" s="52" t="str">
        <f>Transports!$C$2</f>
        <v>11670cc89254539b7527b5113a68e6edb6</v>
      </c>
      <c r="E28" s="52">
        <f>Transports!$D$3</f>
        <v>45962</v>
      </c>
    </row>
    <row r="29" spans="1:5" s="43" customFormat="1" ht="62.45" hidden="1" customHeight="1">
      <c r="A29" s="51" t="str">
        <f>Transports!$G84</f>
        <v>Werfen DOCS legacy</v>
      </c>
      <c r="B29" s="42" t="str">
        <f>CONCATENATE("https://jenkins.werfen.com/",Transports!$D84,Transports!$E84,"?token=",Transports!$C84,"&amp;token2=")</f>
        <v>https://jenkins.werfen.com/job/WerfenDocs/job/Production/job/QA%20Transports/job/Werfen%20Docs%20Full%20Release/build?token=WerfenDocsFullRelease&amp;token2=</v>
      </c>
      <c r="C29" s="42" t="str">
        <f>_xlfn.CONCAT("https://jenkins.werfen.com/",Transports!$D84,"?token=",Transports!$C84)</f>
        <v>https://jenkins.werfen.com/job/WerfenDocs/job/Production/job/QA%20Transports/job/Werfen%20Docs%20Full%20Release/?token=WerfenDocsFullRelease</v>
      </c>
      <c r="D29" s="52" t="str">
        <f>Transports!$C$2</f>
        <v>11670cc89254539b7527b5113a68e6edb6</v>
      </c>
      <c r="E29" s="52">
        <f>Transports!$D$3</f>
        <v>45962</v>
      </c>
    </row>
    <row r="30" spans="1:5" s="43" customFormat="1" ht="62.45" hidden="1" customHeight="1">
      <c r="A30" s="51" t="str">
        <f>Transports!$G87</f>
        <v>Old Case Portal legacy</v>
      </c>
      <c r="B30" s="42" t="str">
        <f>CONCATENATE("https://jenkins.werfen.com/",Transports!$D87,Transports!$E87,"?token=",Transports!$C87,"&amp;token2=")</f>
        <v>https://jenkins.werfen.com/job/Case%20Portal%20(Legacy)/job/Production%20Environment/job/QA%20Transports/job/Case%20Portal%20Legacy/build?token=CasePortalRelease&amp;token2=</v>
      </c>
      <c r="C30" s="42" t="str">
        <f>_xlfn.CONCAT("https://jenkins.werfen.com/",Transports!$D87,"?token=",Transports!$C87)</f>
        <v>https://jenkins.werfen.com/job/Case%20Portal%20(Legacy)/job/Production%20Environment/job/QA%20Transports/job/Case%20Portal%20Legacy/?token=CasePortalRelease</v>
      </c>
      <c r="D30" s="52" t="str">
        <f>Transports!$C$2</f>
        <v>11670cc89254539b7527b5113a68e6edb6</v>
      </c>
      <c r="E30" s="52">
        <f>Transports!$D$3</f>
        <v>45962</v>
      </c>
    </row>
    <row r="31" spans="1:5" s="43" customFormat="1" ht="62.45" hidden="1" customHeight="1">
      <c r="A31" s="51" t="str">
        <f>Transports!$G88</f>
        <v>Middleware ADP legacy</v>
      </c>
      <c r="B31" s="42" t="str">
        <f>CONCATENATE("https://jenkins.werfen.com/",Transports!$D88,Transports!$E88,"?token=",Transports!$C88,"&amp;token2=")</f>
        <v>https://jenkins.werfen.com/job/Middleware%20ADP/job/Production%20environment/job/QA%20Transports/job/Deploy%20site/buildWithParameters?token=MiddlewareADPRelease&amp;token2=</v>
      </c>
      <c r="C31" s="42" t="str">
        <f>_xlfn.CONCAT("https://jenkins.werfen.com/",Transports!$D88,"?token=",Transports!$C88)</f>
        <v>https://jenkins.werfen.com/job/Middleware%20ADP/job/Production%20environment/job/QA%20Transports/job/Deploy%20site/?token=MiddlewareADPRelease</v>
      </c>
      <c r="D31" s="52" t="str">
        <f>Transports!$C$2</f>
        <v>11670cc89254539b7527b5113a68e6edb6</v>
      </c>
      <c r="E31" s="52">
        <f>Transports!$D$3</f>
        <v>45962</v>
      </c>
    </row>
    <row r="32" spans="1:5" s="43" customFormat="1" ht="62.45" hidden="1" customHeight="1">
      <c r="A32" s="51" t="str">
        <f>Transports!$G91</f>
        <v>MonthlyReport legacy</v>
      </c>
      <c r="B32" s="42" t="str">
        <f>CONCATENATE("https://jenkins.werfen.com/",Transports!$D91,Transports!$E91,"?token=",Transports!$C91,"&amp;token2=")</f>
        <v>https://jenkins.werfen.com/job/Monthly%20Report/job/Production%20Environment/job/QA%20Transports/job/Deploy/buildWithParameters?token=MonthlyReportRelease&amp;token2=</v>
      </c>
      <c r="C32" s="42" t="str">
        <f>_xlfn.CONCAT("https://jenkins.werfen.com/",Transports!$D91,"?token=",Transports!$C91)</f>
        <v>https://jenkins.werfen.com/job/Monthly%20Report/job/Production%20Environment/job/QA%20Transports/job/Deploy/?token=MonthlyReportRelease</v>
      </c>
      <c r="D32" s="52" t="str">
        <f>Transports!$C$2</f>
        <v>11670cc89254539b7527b5113a68e6edb6</v>
      </c>
      <c r="E32" s="52">
        <f>Transports!$D$3</f>
        <v>45962</v>
      </c>
    </row>
    <row r="33" spans="1:5" s="43" customFormat="1" ht="62.45" hidden="1" customHeight="1">
      <c r="A33" s="51" t="str">
        <f>Transports!$G94</f>
        <v>myClaims legacy</v>
      </c>
      <c r="B33" s="42" t="str">
        <f>CONCATENATE("https://jenkins.werfen.com/",Transports!$D94,Transports!$E94,"?token=",Transports!$C94,"&amp;token2=")</f>
        <v>https://jenkins.werfen.com/job/myClaims/job/Production%20Environment/job/QA%20Transports/job/Deploy%20to%20prod/buildWithParameters?token=myClaimsRelease&amp;token2=</v>
      </c>
      <c r="C33" s="42" t="str">
        <f>_xlfn.CONCAT("https://jenkins.werfen.com/",Transports!$D94,"?token=",Transports!$C94)</f>
        <v>https://jenkins.werfen.com/job/myClaims/job/Production%20Environment/job/QA%20Transports/job/Deploy%20to%20prod/?token=myClaimsRelease</v>
      </c>
      <c r="D33" s="52" t="str">
        <f>Transports!$C$2</f>
        <v>11670cc89254539b7527b5113a68e6edb6</v>
      </c>
      <c r="E33" s="52">
        <f>Transports!$D$3</f>
        <v>45962</v>
      </c>
    </row>
    <row r="34" spans="1:5" s="43" customFormat="1" ht="62.45" hidden="1" customHeight="1">
      <c r="A34" s="51" t="str">
        <f>Transports!$G97</f>
        <v>myClaimsChina</v>
      </c>
      <c r="B34" s="42" t="str">
        <f>CONCATENATE("https://jenkins.werfen.com/",Transports!$D97,Transports!$E97,"?token=",Transports!$C97,"&amp;token2=")</f>
        <v>https://jenkins.werfen.com/job/myClaims/job/Production%20Environment/job/QA%20Transports/job/Deploy%20to%20prod%20CN/buildWithParameters?token=myClaimsCNRelease&amp;token2=</v>
      </c>
      <c r="C34" s="42" t="str">
        <f>_xlfn.CONCAT("https://jenkins.werfen.com/",Transports!$D97,"?token=",Transports!$C97)</f>
        <v>https://jenkins.werfen.com/job/myClaims/job/Production%20Environment/job/QA%20Transports/job/Deploy%20to%20prod%20CN/?token=myClaimsCNRelease</v>
      </c>
      <c r="D34" s="52" t="str">
        <f>Transports!$C$2</f>
        <v>11670cc89254539b7527b5113a68e6edb6</v>
      </c>
      <c r="E34" s="52">
        <f>Transports!$D$3</f>
        <v>45962</v>
      </c>
    </row>
    <row r="35" spans="1:5" s="43" customFormat="1" ht="62.45" hidden="1" customHeight="1">
      <c r="A35" s="41" t="str">
        <f>Transports!$G101</f>
        <v>myOrders Release</v>
      </c>
      <c r="B35" s="42" t="str">
        <f>CONCATENATE("https://jenkins.werfen.com/",Transports!$D101,Transports!$E101,"?token=",Transports!$C101,"&amp;token2=")</f>
        <v>https://jenkins.werfen.com/job/myOrders/job/Production%20Environment/job/QA%20Transport/job/Deploy%20release/buildWithParameters?token=myOrdersRelease1&amp;token2=</v>
      </c>
      <c r="C35" s="42" t="str">
        <f>_xlfn.CONCAT("https://jenkins.werfen.com/",Transports!$D101,"?token=",Transports!$C101)</f>
        <v>https://jenkins.werfen.com/job/myOrders/job/Production%20Environment/job/QA%20Transport/job/Deploy%20release/?token=myOrdersRelease1</v>
      </c>
      <c r="D35" s="52" t="str">
        <f>Transports!$C$2</f>
        <v>11670cc89254539b7527b5113a68e6edb6</v>
      </c>
      <c r="E35" s="52">
        <f>Transports!$D$3</f>
        <v>45962</v>
      </c>
    </row>
    <row r="36" spans="1:5" s="43" customFormat="1" ht="62.45" hidden="1" customHeight="1">
      <c r="A36" s="51" t="str">
        <f>Transports!$G105</f>
        <v>WerfenTower legacy</v>
      </c>
      <c r="B36" s="42" t="str">
        <f>CONCATENATE("https://jenkins.werfen.com/",Transports!$D105,Transports!$E105,"?token=",Transports!$C105,"&amp;token2=")</f>
        <v>https://jenkins.werfen.com/job/Tower/job/Production%20Environment/job/QA%20Transports/job/Tower/build?token=WerfenTowerRelease&amp;token2=</v>
      </c>
      <c r="C36" s="42" t="str">
        <f>_xlfn.CONCAT("https://jenkins.werfen.com/",Transports!$D105,"?token=",Transports!$C105)</f>
        <v>https://jenkins.werfen.com/job/Tower/job/Production%20Environment/job/QA%20Transports/job/Tower/?token=WerfenTowerRelease</v>
      </c>
      <c r="D36" s="52" t="str">
        <f>Transports!$C$2</f>
        <v>11670cc89254539b7527b5113a68e6edb6</v>
      </c>
      <c r="E36" s="52">
        <f>Transports!$D$3</f>
        <v>45962</v>
      </c>
    </row>
    <row r="37" spans="1:5" s="43" customFormat="1" ht="62.45" hidden="1" customHeight="1">
      <c r="A37" s="51" t="str">
        <f>Transports!$G108</f>
        <v>WeLearn legacy</v>
      </c>
      <c r="B37" s="42" t="str">
        <f>CONCATENATE("https://jenkins.werfen.com/",Transports!$D108,Transports!$E108,"?token=",Transports!$C108,"&amp;token2=")</f>
        <v>https://jenkins.werfen.com/job/LMS/job/Production%20environment/job/QA%20Transports/job/WeLearn/buildWithParameters?token=WeLearnRelease&amp;token2=</v>
      </c>
      <c r="C37" s="42" t="str">
        <f>_xlfn.CONCAT("https://jenkins.werfen.com/",Transports!$D108,"?token=",Transports!$C108)</f>
        <v>https://jenkins.werfen.com/job/LMS/job/Production%20environment/job/QA%20Transports/job/WeLearn/?token=WeLearnRelease</v>
      </c>
      <c r="D37" s="52" t="str">
        <f>Transports!$C$2</f>
        <v>11670cc89254539b7527b5113a68e6edb6</v>
      </c>
      <c r="E37" s="52">
        <f>Transports!$D$3</f>
        <v>45962</v>
      </c>
    </row>
    <row r="38" spans="1:5" s="43" customFormat="1" ht="62.45" hidden="1" customHeight="1">
      <c r="A38" s="51" t="str">
        <f>Transports!$G111</f>
        <v>Werfen Academy legacy</v>
      </c>
      <c r="B38" s="42" t="str">
        <f>CONCATENATE("https://jenkins.werfen.com/",Transports!$D111,Transports!$E111,"?token=",Transports!$C111,"&amp;token2=")</f>
        <v>https://jenkins.werfen.com/job/LMS/job/Production%20environment/job/QA%20Transports/job/Release%20job%20academy/buildWithParameters?token=WerfenAcademyRelease&amp;token2=</v>
      </c>
      <c r="C38" s="42" t="str">
        <f>_xlfn.CONCAT("https://jenkins.werfen.com/",Transports!$D111,"?token=",Transports!$C111)</f>
        <v>https://jenkins.werfen.com/job/LMS/job/Production%20environment/job/QA%20Transports/job/Release%20job%20academy/?token=WerfenAcademyRelease</v>
      </c>
      <c r="D38" s="52" t="str">
        <f>Transports!$C$2</f>
        <v>11670cc89254539b7527b5113a68e6edb6</v>
      </c>
      <c r="E38" s="52">
        <f>Transports!$D$3</f>
        <v>45962</v>
      </c>
    </row>
    <row r="39" spans="1:5" s="43" customFormat="1" ht="62.45" hidden="1" customHeight="1">
      <c r="A39" s="51" t="str">
        <f>Transports!$G114</f>
        <v>Werfen Academy China legacy</v>
      </c>
      <c r="B39" s="42" t="str">
        <f>CONCATENATE("https://jenkins.werfen.com/",Transports!$D114,Transports!$E114,"?token=",Transports!$C114,"&amp;token2=")</f>
        <v>https://jenkins.werfen.com/job/LMS/job/Production%20environment/job/QA%20Transports/job/Release%20job%20academy%20China/buildWithParameters?token=WerfenAcademyChinaRelease&amp;token2=</v>
      </c>
      <c r="C39" s="42" t="str">
        <f>_xlfn.CONCAT("https://jenkins.werfen.com/",Transports!$D114,"?token=",Transports!$C114)</f>
        <v>https://jenkins.werfen.com/job/LMS/job/Production%20environment/job/QA%20Transports/job/Release%20job%20academy%20China/?token=WerfenAcademyChinaRelease</v>
      </c>
      <c r="D39" s="52" t="str">
        <f>Transports!$C$2</f>
        <v>11670cc89254539b7527b5113a68e6edb6</v>
      </c>
      <c r="E39" s="52">
        <f>Transports!$D$3</f>
        <v>45962</v>
      </c>
    </row>
    <row r="40" spans="1:5" s="43" customFormat="1" ht="62.45" hidden="1" customHeight="1">
      <c r="A40" s="51" t="str">
        <f>Transports!$G117</f>
        <v>Werfen Academy DosiFuser legacy</v>
      </c>
      <c r="B40" s="42" t="str">
        <f>CONCATENATE("https://jenkins.werfen.com/",Transports!$D117,Transports!$E117,"?token=",Transports!$C117,"&amp;token2=")</f>
        <v>https://jenkins.werfen.com/job/LMS/job/Production%20environment/job/QA%20Transports/job/Release%20job%20Dosi-fuser/buildWithParameters?token=WerfenAcademyDosiFuserRelease&amp;token2=</v>
      </c>
      <c r="C40" s="42" t="str">
        <f>_xlfn.CONCAT("https://jenkins.werfen.com/",Transports!$D117,"?token=",Transports!$C117)</f>
        <v>https://jenkins.werfen.com/job/LMS/job/Production%20environment/job/QA%20Transports/job/Release%20job%20Dosi-fuser/?token=WerfenAcademyDosiFuserRelease</v>
      </c>
      <c r="D40" s="52" t="str">
        <f>Transports!$C$2</f>
        <v>11670cc89254539b7527b5113a68e6edb6</v>
      </c>
      <c r="E40" s="52">
        <f>Transports!$D$3</f>
        <v>45962</v>
      </c>
    </row>
    <row r="41" spans="1:5" s="43" customFormat="1" ht="62.45" hidden="1" customHeight="1">
      <c r="A41" s="51" t="str">
        <f>Transports!$G120</f>
        <v>Distributors Portal legacy</v>
      </c>
      <c r="B41" s="42" t="str">
        <f>CONCATENATE("https://jenkins.werfen.com/",Transports!$D120,Transports!$E120,"?token=",Transports!$C120,"&amp;token2=")</f>
        <v>https://jenkins.werfen.com/job/Distributors%20Portal%20(E-business)/job/Production%20Environment/job/QA%20Transport/job/Distributors%20Portal%20Deploy/build?token=DISTRIBUTORS_PORTAL_PRODUCTION_QA_TRANSPORT&amp;token2=</v>
      </c>
      <c r="C41" s="42" t="str">
        <f>_xlfn.CONCAT("https://jenkins.werfen.com/",Transports!$D120,"?token=",Transports!$C120)</f>
        <v>https://jenkins.werfen.com/job/Distributors%20Portal%20(E-business)/job/Production%20Environment/job/QA%20Transport/job/Distributors%20Portal%20Deploy/?token=DISTRIBUTORS_PORTAL_PRODUCTION_QA_TRANSPORT</v>
      </c>
      <c r="D41" s="52" t="str">
        <f>Transports!$C$2</f>
        <v>11670cc89254539b7527b5113a68e6edb6</v>
      </c>
      <c r="E41" s="52">
        <f>Transports!$D$3</f>
        <v>45962</v>
      </c>
    </row>
    <row r="42" spans="1:5" s="43" customFormat="1" ht="62.45" hidden="1" customHeight="1">
      <c r="A42" s="51" t="str">
        <f>Transports!$G123</f>
        <v>IVD Market Watch legacy</v>
      </c>
      <c r="B42" s="42" t="str">
        <f>CONCATENATE("https://jenkins.werfen.com/",Transports!$D123,Transports!$E123,"?token=",Transports!$C123,"&amp;token2=")</f>
        <v>https://jenkins.werfen.com/job/IVD%20Market%20Watch/job/Production%20Environment/job/QA%20Transports/job/IVD%20Market%20Watch/buildWithParameters?token=IVDMarketWatchRelease&amp;token2=</v>
      </c>
      <c r="C42" s="42" t="str">
        <f>_xlfn.CONCAT("https://jenkins.werfen.com/",Transports!$D123,"?token=",Transports!$C123)</f>
        <v>https://jenkins.werfen.com/job/IVD%20Market%20Watch/job/Production%20Environment/job/QA%20Transports/job/IVD%20Market%20Watch/?token=IVDMarketWatchRelease</v>
      </c>
      <c r="D42" s="52" t="str">
        <f>Transports!$C$2</f>
        <v>11670cc89254539b7527b5113a68e6edb6</v>
      </c>
      <c r="E42" s="52">
        <f>Transports!$D$3</f>
        <v>45962</v>
      </c>
    </row>
    <row r="43" spans="1:5" s="43" customFormat="1" ht="62.45" hidden="1" customHeight="1">
      <c r="A43" s="51" t="str">
        <f>Transports!$G126</f>
        <v>Customer Portal legacy</v>
      </c>
      <c r="B43" s="42" t="str">
        <f>CONCATENATE("https://jenkins.werfen.com/",Transports!$D126,Transports!$E126,"?token=",Transports!$C126,"&amp;token2=")</f>
        <v>https://jenkins.werfen.com/job/CustomersPortal/job/Production%20Environment/job/Customers%20Portal%20QA%20Transport/build?token=CUSTOMER_PORTAL_PRODUCTION_QA_TRANSPORT&amp;token2=</v>
      </c>
      <c r="C43" s="42" t="str">
        <f>_xlfn.CONCAT("https://jenkins.werfen.com/",Transports!$D126,"?token=",Transports!$C126)</f>
        <v>https://jenkins.werfen.com/job/CustomersPortal/job/Production%20Environment/job/Customers%20Portal%20QA%20Transport/?token=CUSTOMER_PORTAL_PRODUCTION_QA_TRANSPORT</v>
      </c>
      <c r="D43" s="52" t="str">
        <f>Transports!$C$2</f>
        <v>11670cc89254539b7527b5113a68e6edb6</v>
      </c>
      <c r="E43" s="52">
        <f>Transports!$D$3</f>
        <v>45962</v>
      </c>
    </row>
    <row r="44" spans="1:5" s="43" customFormat="1" ht="62.45" hidden="1" customHeight="1">
      <c r="A44" s="51" t="str">
        <f>Transports!$G129</f>
        <v>WerfenTouch Web legacy</v>
      </c>
      <c r="B44" s="42" t="str">
        <f>CONCATENATE("https://jenkins.werfen.com/",Transports!$D129,Transports!$E129,"?token=",Transports!$C129,"&amp;token2=")</f>
        <v>https://jenkins.werfen.com/job/WerfenTouch/job/Backend/job/Production%20Enviroment/job/QA%20Transports/job/Deploy%20to%20prod/buildWithParameters?token=WerfenTouchWebRelease&amp;token2=</v>
      </c>
      <c r="C44" s="42" t="str">
        <f>_xlfn.CONCAT("https://jenkins.werfen.com/",Transports!$D129,"?token=",Transports!$C129)</f>
        <v>https://jenkins.werfen.com/job/WerfenTouch/job/Backend/job/Production%20Enviroment/job/QA%20Transports/job/Deploy%20to%20prod/?token=WerfenTouchWebRelease</v>
      </c>
      <c r="D44" s="52" t="str">
        <f>Transports!$C$2</f>
        <v>11670cc89254539b7527b5113a68e6edb6</v>
      </c>
      <c r="E44" s="52">
        <f>Transports!$D$3</f>
        <v>45962</v>
      </c>
    </row>
    <row r="45" spans="1:5" s="43" customFormat="1" ht="62.45" hidden="1" customHeight="1">
      <c r="A45" s="51" t="str">
        <f>Transports!$G132</f>
        <v>WerfenTouch China Web</v>
      </c>
      <c r="B45" s="42" t="str">
        <f>CONCATENATE("https://jenkins.werfen.com/",Transports!$D132,Transports!$E132,"?token=",Transports!$C132,"&amp;token2=")</f>
        <v>https://jenkins.werfen.com/job/WerfenTouch/job/Production%20environment/job/Websites/job/QA%20Transports/job/WerfenTouch%20China/buildWithParameters?token=WerfenTouchChinaWebRelease&amp;token2=</v>
      </c>
      <c r="C45" s="42" t="str">
        <f>_xlfn.CONCAT("https://jenkins.werfen.com/",Transports!$D132,"?token=",Transports!$C132)</f>
        <v>https://jenkins.werfen.com/job/WerfenTouch/job/Production%20environment/job/Websites/job/QA%20Transports/job/WerfenTouch%20China/?token=WerfenTouchChinaWebRelease</v>
      </c>
      <c r="D45" s="52" t="str">
        <f>Transports!$C$2</f>
        <v>11670cc89254539b7527b5113a68e6edb6</v>
      </c>
      <c r="E45" s="52">
        <f>Transports!$D$3</f>
        <v>45962</v>
      </c>
    </row>
    <row r="46" spans="1:5" s="43" customFormat="1" ht="62.45" hidden="1" customHeight="1">
      <c r="A46" s="51" t="str">
        <f>Transports!$G133</f>
        <v>Accriva Tickets legacy</v>
      </c>
      <c r="B46" s="42" t="str">
        <f>CONCATENATE("https://jenkins.werfen.com/",Transports!$D133,Transports!$E133,"?token=",Transports!$C133,"&amp;token2=")</f>
        <v>https://jenkins.werfen.com/job/AccrivaTickets/job/Production%20Environment/job/Accriva%20Tickets%20QA%20Transport/build?token=ACCRIVA_TICKETS_PRODUCTION_QA_TRANSPORT&amp;token2=</v>
      </c>
      <c r="C46" s="42" t="str">
        <f>_xlfn.CONCAT("https://jenkins.werfen.com/",Transports!$D133,"?token=",Transports!$C133)</f>
        <v>https://jenkins.werfen.com/job/AccrivaTickets/job/Production%20Environment/job/Accriva%20Tickets%20QA%20Transport/?token=ACCRIVA_TICKETS_PRODUCTION_QA_TRANSPORT</v>
      </c>
      <c r="D46" s="52" t="str">
        <f>Transports!$C$2</f>
        <v>11670cc89254539b7527b5113a68e6edb6</v>
      </c>
      <c r="E46" s="52">
        <f>Transports!$D$3</f>
        <v>45962</v>
      </c>
    </row>
    <row r="47" spans="1:5" s="17" customFormat="1" ht="42" customHeight="1">
      <c r="A47" s="14" t="str">
        <f>Transports!G141</f>
        <v>Vendors Portal Release</v>
      </c>
      <c r="B47" s="42" t="str">
        <f>CONCATENATE("https://jenkins.werfen.com/",Transports!$D141,Transports!$E141,"?token=",Transports!$C141,"&amp;token2=")</f>
        <v>https://jenkins.werfen.com/job/Vendors%20Portal/job/Production%20environment/job/QA%20Transports/job/Deploy%20Release/buildWithParameters?token=VendorsPortalRelease1&amp;token2=</v>
      </c>
      <c r="C47" s="15"/>
      <c r="D47" s="44" t="e">
        <f>Transports!#REF!</f>
        <v>#REF!</v>
      </c>
      <c r="E47" s="44"/>
    </row>
    <row r="48" spans="1:5" s="17" customFormat="1" ht="47.25">
      <c r="A48" s="14" t="str">
        <f>Transports!G142</f>
        <v>Vendors Portal Hotfix</v>
      </c>
      <c r="B48" s="42" t="str">
        <f>CONCATENATE("https://jenkins.werfen.com/",Transports!$D142,Transports!$E142,"?token=",Transports!$C142,"&amp;token2=")</f>
        <v>https://jenkins.werfen.com/job/Vendors%20Portal/job/Production%20environment/job/QA%20Transports/job/Deploy%20Hotfix/buildWithParameters?token=VendorsPortalHotfix&amp;token2=</v>
      </c>
      <c r="C48" s="15"/>
      <c r="D48" s="44" t="e">
        <f>Transports!#REF!</f>
        <v>#REF!</v>
      </c>
      <c r="E48" s="44"/>
    </row>
    <row r="49" spans="1:5" s="17" customFormat="1">
      <c r="A49" s="13"/>
      <c r="B49" s="15"/>
      <c r="C49" s="15"/>
      <c r="D49" s="15"/>
      <c r="E49" s="15"/>
    </row>
    <row r="50" spans="1:5" s="17" customFormat="1">
      <c r="A50" s="13"/>
      <c r="B50" s="15"/>
      <c r="C50" s="15"/>
      <c r="D50" s="15"/>
      <c r="E50" s="15"/>
    </row>
    <row r="51" spans="1:5" s="17" customFormat="1">
      <c r="A51" s="13"/>
      <c r="B51" s="15"/>
      <c r="C51" s="15"/>
      <c r="D51" s="15"/>
      <c r="E51" s="15"/>
    </row>
    <row r="52" spans="1:5" s="17" customFormat="1">
      <c r="A52" s="13"/>
      <c r="B52" s="15"/>
      <c r="C52" s="15"/>
      <c r="D52" s="15"/>
      <c r="E52" s="15"/>
    </row>
    <row r="53" spans="1:5" s="17" customFormat="1">
      <c r="A53" s="13"/>
      <c r="B53" s="15"/>
      <c r="C53" s="15"/>
      <c r="D53" s="15"/>
      <c r="E53" s="15"/>
    </row>
    <row r="54" spans="1:5" s="17" customFormat="1">
      <c r="A54" s="13"/>
      <c r="B54" s="15"/>
      <c r="C54" s="15"/>
      <c r="D54" s="15"/>
      <c r="E54" s="15"/>
    </row>
    <row r="55" spans="1:5" s="17" customFormat="1">
      <c r="A55" s="13"/>
      <c r="B55" s="15"/>
      <c r="C55" s="15"/>
      <c r="D55" s="15"/>
      <c r="E55" s="15"/>
    </row>
    <row r="56" spans="1:5" s="17" customFormat="1">
      <c r="A56" s="13"/>
      <c r="B56" s="15"/>
      <c r="C56" s="15"/>
      <c r="D56" s="15"/>
      <c r="E56" s="15"/>
    </row>
    <row r="57" spans="1:5" s="17" customFormat="1">
      <c r="A57" s="13"/>
      <c r="B57" s="15"/>
      <c r="C57" s="15"/>
      <c r="D57" s="15"/>
      <c r="E57" s="15"/>
    </row>
    <row r="58" spans="1:5" s="17" customFormat="1">
      <c r="A58" s="13"/>
      <c r="B58" s="15"/>
      <c r="C58" s="15"/>
      <c r="D58" s="15"/>
      <c r="E58" s="15"/>
    </row>
    <row r="59" spans="1:5" s="17" customFormat="1">
      <c r="A59" s="13"/>
      <c r="B59" s="15"/>
      <c r="C59" s="15"/>
      <c r="D59" s="15"/>
      <c r="E59" s="15"/>
    </row>
    <row r="60" spans="1:5" s="17" customFormat="1">
      <c r="A60" s="13"/>
      <c r="B60" s="15"/>
      <c r="C60" s="15"/>
      <c r="D60" s="15"/>
      <c r="E60" s="15"/>
    </row>
    <row r="61" spans="1:5" s="17" customFormat="1">
      <c r="A61" s="13"/>
      <c r="B61" s="15"/>
      <c r="C61" s="15"/>
      <c r="D61" s="15"/>
      <c r="E61" s="15"/>
    </row>
  </sheetData>
  <autoFilter ref="A1:E48" xr:uid="{7961D7A3-B0E8-471B-B489-89BD91E2F655}">
    <filterColumn colId="0">
      <filters>
        <filter val="Vendors Portal Hotfix"/>
        <filter val="Vendors Portal Release"/>
      </filters>
    </filterColumn>
  </autoFilter>
  <pageMargins left="0.7" right="0.7" top="0.75" bottom="0.75" header="0.3" footer="0.3"/>
  <pageSetup paperSize="9" orientation="portrait" horizontalDpi="0" verticalDpi="0"/>
  <headerFooter>
    <oddFooter>&amp;C_x000D_&amp;1#&amp;"Calibri"&amp;8&amp;K000000           © Werfen All rights reserved. Confidential. For internal use only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7BAE-CAC7-2C4C-A44F-930C54989A61}">
  <dimension ref="A1:I70"/>
  <sheetViews>
    <sheetView zoomScale="70" zoomScaleNormal="70" workbookViewId="0">
      <pane ySplit="4" topLeftCell="A37" activePane="bottomLeft" state="frozen"/>
      <selection pane="bottomLeft" activeCell="E2" sqref="E2:F2"/>
    </sheetView>
  </sheetViews>
  <sheetFormatPr defaultColWidth="10.75" defaultRowHeight="15.75"/>
  <cols>
    <col min="1" max="2" width="16.75" style="7" customWidth="1"/>
    <col min="3" max="3" width="16.75" style="8" customWidth="1"/>
    <col min="4" max="4" width="78.625" style="11" customWidth="1"/>
    <col min="5" max="5" width="45.25" style="26" customWidth="1"/>
    <col min="6" max="6" width="95" style="26" customWidth="1"/>
    <col min="7" max="7" width="36.625" style="10" customWidth="1"/>
    <col min="8" max="8" width="30.625" style="10" customWidth="1"/>
    <col min="9" max="9" width="10.75" style="3"/>
    <col min="10" max="16384" width="10.75" style="1"/>
  </cols>
  <sheetData>
    <row r="1" spans="1:9">
      <c r="A1" s="29" t="s">
        <v>0</v>
      </c>
      <c r="B1" s="29"/>
      <c r="D1" s="4"/>
      <c r="E1" s="9"/>
      <c r="F1" s="9"/>
      <c r="G1" s="4"/>
      <c r="H1" s="4"/>
    </row>
    <row r="2" spans="1:9" ht="19.350000000000001" customHeight="1">
      <c r="A2" s="30" t="s">
        <v>4</v>
      </c>
      <c r="B2" s="30"/>
      <c r="C2" s="7"/>
      <c r="D2" s="5" t="s">
        <v>5</v>
      </c>
      <c r="E2" s="65" t="s">
        <v>507</v>
      </c>
      <c r="F2" s="65"/>
      <c r="G2" s="32" t="s">
        <v>7</v>
      </c>
      <c r="H2" s="6"/>
      <c r="I2" s="2"/>
    </row>
    <row r="3" spans="1:9" ht="16.149999999999999" thickBot="1">
      <c r="A3" s="31" t="s">
        <v>9</v>
      </c>
      <c r="B3" s="31"/>
      <c r="D3" s="4"/>
      <c r="E3" s="36" t="s">
        <v>508</v>
      </c>
      <c r="F3" s="36" t="s">
        <v>509</v>
      </c>
      <c r="G3" s="4"/>
      <c r="H3" s="4"/>
    </row>
    <row r="4" spans="1:9" s="12" customFormat="1" ht="17.25" customHeight="1" thickBot="1">
      <c r="A4" s="23" t="s">
        <v>11</v>
      </c>
      <c r="B4" s="39" t="s">
        <v>16</v>
      </c>
      <c r="C4" s="24" t="s">
        <v>17</v>
      </c>
      <c r="D4" s="24" t="s">
        <v>12</v>
      </c>
      <c r="E4" s="24" t="s">
        <v>13</v>
      </c>
      <c r="F4" s="24" t="s">
        <v>14</v>
      </c>
      <c r="G4" s="33" t="s">
        <v>19</v>
      </c>
      <c r="H4" s="25" t="s">
        <v>18</v>
      </c>
      <c r="I4" s="19"/>
    </row>
    <row r="5" spans="1:9" s="17" customFormat="1" ht="145.5" customHeight="1">
      <c r="A5" s="20" t="s">
        <v>21</v>
      </c>
      <c r="B5" s="20">
        <v>1</v>
      </c>
      <c r="C5" s="21" t="s">
        <v>510</v>
      </c>
      <c r="D5" s="22" t="str">
        <f>CONCATENATE($G$4," ",G5,CHAR(10),CHAR(13),CHAR(10),CHAR(13),$H$4," ",H5)</f>
        <v>JENKINS_RESULT https://jenkins.werfen.com/job/Werfen%20websites/job/Production%20environment/job/QA%20Transports/job/All%20werfen.com%20sites/?token=WerfenALLRelease
_x000D_
_x000D_JENKINS_TRANSPORT job/Werfen%20websites/job/Production%20environment/job/QA%20Transports/job/All%20werfen.com%20sites/build?token=WerfenALLRelease&amp;token2=1197e97c0e27b3d81eb7b1f5597b55952a</v>
      </c>
      <c r="E5" s="27" t="s">
        <v>22</v>
      </c>
      <c r="F5" s="27" t="s">
        <v>23</v>
      </c>
      <c r="G5" s="34" t="str">
        <f>_xlfn.CONCAT("https://jenkins.werfen.com/",F5,"?token=",E5)</f>
        <v>https://jenkins.werfen.com/job/Werfen%20websites/job/Production%20environment/job/QA%20Transports/job/All%20werfen.com%20sites/?token=WerfenALLRelease</v>
      </c>
      <c r="H5" s="34" t="str">
        <f>CONCATENATE(F5,"build?token=",E5,"&amp;token2=",$E$2)</f>
        <v>job/Werfen%20websites/job/Production%20environment/job/QA%20Transports/job/All%20werfen.com%20sites/build?token=WerfenALLRelease&amp;token2=1197e97c0e27b3d81eb7b1f5597b55952a</v>
      </c>
      <c r="I5" s="16"/>
    </row>
    <row r="6" spans="1:9" s="17" customFormat="1" ht="145.5" customHeight="1">
      <c r="A6" s="20" t="s">
        <v>21</v>
      </c>
      <c r="B6" s="20">
        <v>17</v>
      </c>
      <c r="C6" s="21" t="s">
        <v>511</v>
      </c>
      <c r="D6" s="22" t="str">
        <f t="shared" ref="D6" si="0">CONCATENATE($G$4," ",G6,CHAR(10),CHAR(13),CHAR(10),CHAR(13),$H$4," ",H6)</f>
        <v>JENKINS_RESULT https://jenkins.werfen.com/job/Werfen%20websites/job/Production%20environment/job/QA%20Transports/job/MedCor/?token=MedCorRelease
_x000D_
_x000D_JENKINS_TRANSPORT job/Werfen%20websites/job/Production%20environment/job/QA%20Transports/job/MedCor/build?token=MedCorRelease&amp;token2=1197e97c0e27b3d81eb7b1f5597b55952a</v>
      </c>
      <c r="E6" s="27" t="s">
        <v>512</v>
      </c>
      <c r="F6" s="27" t="s">
        <v>513</v>
      </c>
      <c r="G6" s="34" t="str">
        <f t="shared" ref="G6" si="1">_xlfn.CONCAT("https://jenkins.werfen.com/",F6,"?token=",E6)</f>
        <v>https://jenkins.werfen.com/job/Werfen%20websites/job/Production%20environment/job/QA%20Transports/job/MedCor/?token=MedCorRelease</v>
      </c>
      <c r="H6" s="34" t="str">
        <f t="shared" ref="H6" si="2">CONCATENATE(F6,"build?token=",E6,"&amp;token2=",$E$2)</f>
        <v>job/Werfen%20websites/job/Production%20environment/job/QA%20Transports/job/MedCor/build?token=MedCorRelease&amp;token2=1197e97c0e27b3d81eb7b1f5597b55952a</v>
      </c>
      <c r="I6" s="16"/>
    </row>
    <row r="7" spans="1:9" s="17" customFormat="1" ht="145.5" customHeight="1">
      <c r="A7" s="20" t="s">
        <v>21</v>
      </c>
      <c r="B7" s="20"/>
      <c r="C7" s="21" t="s">
        <v>514</v>
      </c>
      <c r="D7" s="22" t="str">
        <f t="shared" ref="D7:D8" si="3">CONCATENATE($G$4," ",G7,CHAR(10),CHAR(13),CHAR(10),CHAR(13),$H$4," ",H7)</f>
        <v>JENKINS_RESULT https://jenkins.werfen.com/job/Werfen%20websites/job/Production%20environment/job/QA%20Transports/job/Werfen%20CZ/?token=WerfenCZRelease
_x000D_
_x000D_JENKINS_TRANSPORT job/Werfen%20websites/job/Production%20environment/job/QA%20Transports/job/Werfen%20CZ/build?token=WerfenCZRelease&amp;token2=1197e97c0e27b3d81eb7b1f5597b55952a</v>
      </c>
      <c r="E7" s="27" t="s">
        <v>34</v>
      </c>
      <c r="F7" s="27" t="s">
        <v>35</v>
      </c>
      <c r="G7" s="34" t="str">
        <f t="shared" ref="G7:G8" si="4">_xlfn.CONCAT("https://jenkins.werfen.com/",F7,"?token=",E7)</f>
        <v>https://jenkins.werfen.com/job/Werfen%20websites/job/Production%20environment/job/QA%20Transports/job/Werfen%20CZ/?token=WerfenCZRelease</v>
      </c>
      <c r="H7" s="34" t="str">
        <f t="shared" ref="H7:H8" si="5">CONCATENATE(F7,"build?token=",E7,"&amp;token2=",$E$2)</f>
        <v>job/Werfen%20websites/job/Production%20environment/job/QA%20Transports/job/Werfen%20CZ/build?token=WerfenCZRelease&amp;token2=1197e97c0e27b3d81eb7b1f5597b55952a</v>
      </c>
      <c r="I7" s="16"/>
    </row>
    <row r="8" spans="1:9" s="17" customFormat="1" ht="145.5" customHeight="1">
      <c r="A8" s="20" t="s">
        <v>21</v>
      </c>
      <c r="B8" s="20"/>
      <c r="C8" s="21" t="s">
        <v>515</v>
      </c>
      <c r="D8" s="22" t="str">
        <f t="shared" si="3"/>
        <v>JENKINS_RESULT https://jenkins.werfen.com/job/Werfen%20websites/job/Production%20environment/job/QA%20Transports/job/Werfen%20RU/?token=WerfenRURelease
_x000D_
_x000D_JENKINS_TRANSPORT job/Werfen%20websites/job/Production%20environment/job/QA%20Transports/job/Werfen%20RU/build?token=WerfenRURelease&amp;token2=1197e97c0e27b3d81eb7b1f5597b55952a</v>
      </c>
      <c r="E8" s="27" t="s">
        <v>45</v>
      </c>
      <c r="F8" s="27" t="s">
        <v>46</v>
      </c>
      <c r="G8" s="34" t="str">
        <f t="shared" si="4"/>
        <v>https://jenkins.werfen.com/job/Werfen%20websites/job/Production%20environment/job/QA%20Transports/job/Werfen%20RU/?token=WerfenRURelease</v>
      </c>
      <c r="H8" s="34" t="str">
        <f t="shared" si="5"/>
        <v>job/Werfen%20websites/job/Production%20environment/job/QA%20Transports/job/Werfen%20RU/build?token=WerfenRURelease&amp;token2=1197e97c0e27b3d81eb7b1f5597b55952a</v>
      </c>
      <c r="I8" s="16"/>
    </row>
    <row r="9" spans="1:9" s="17" customFormat="1" ht="145.5" customHeight="1">
      <c r="A9" s="20" t="s">
        <v>21</v>
      </c>
      <c r="B9" s="20">
        <v>4</v>
      </c>
      <c r="C9" s="21" t="s">
        <v>516</v>
      </c>
      <c r="D9" s="22" t="str">
        <f>CONCATENATE($G$4," ",G9,CHAR(10),CHAR(13),CHAR(10),CHAR(13),$H$4," ",H9)</f>
        <v>JENKINS_RESULT https://jenkins.werfen.com/job/Werfen%20websites/job/Production%20environment/job/QA%20Transports/job/Werfen%20AU/?token=WerfenAURelease
_x000D_
_x000D_JENKINS_TRANSPORT job/Werfen%20websites/job/Production%20environment/job/QA%20Transports/job/Werfen%20AU/build?token=WerfenAURelease&amp;token2=1197e97c0e27b3d81eb7b1f5597b55952a</v>
      </c>
      <c r="E9" s="27" t="s">
        <v>55</v>
      </c>
      <c r="F9" s="27" t="s">
        <v>56</v>
      </c>
      <c r="G9" s="34" t="str">
        <f>_xlfn.CONCAT("https://jenkins.werfen.com/",F9,"?token=",E9)</f>
        <v>https://jenkins.werfen.com/job/Werfen%20websites/job/Production%20environment/job/QA%20Transports/job/Werfen%20AU/?token=WerfenAURelease</v>
      </c>
      <c r="H9" s="34" t="str">
        <f>CONCATENATE(F9,"build?token=",E9,"&amp;token2=",$E$2)</f>
        <v>job/Werfen%20websites/job/Production%20environment/job/QA%20Transports/job/Werfen%20AU/build?token=WerfenAURelease&amp;token2=1197e97c0e27b3d81eb7b1f5597b55952a</v>
      </c>
      <c r="I9" s="16"/>
    </row>
    <row r="10" spans="1:9" s="17" customFormat="1" ht="112.5" customHeight="1">
      <c r="A10" s="20" t="s">
        <v>65</v>
      </c>
      <c r="B10" s="20"/>
      <c r="C10" s="21" t="s">
        <v>517</v>
      </c>
      <c r="D10" s="22" t="str">
        <f>CONCATENATE($G$4," ",G10,CHAR(10),CHAR(13),CHAR(10),CHAR(13),$H$4," ",H10)</f>
        <v>JENKINS_RESULT https://jenkins.werfen.com/job/WeListen/job/WeListen%20Deploy%20to%20Prod/?token=welistenRelease
_x000D_
_x000D_JENKINS_TRANSPORT job/WeListen/job/WeListen%20Deploy%20to%20Prod/build?token=welistenRelease&amp;token2=1197e97c0e27b3d81eb7b1f5597b55952a</v>
      </c>
      <c r="E10" s="27" t="s">
        <v>66</v>
      </c>
      <c r="F10" s="27" t="s">
        <v>518</v>
      </c>
      <c r="G10" s="34" t="str">
        <f t="shared" ref="G10:G16" si="6">_xlfn.CONCAT("https://jenkins.werfen.com/",F10,"?token=",E10)</f>
        <v>https://jenkins.werfen.com/job/WeListen/job/WeListen%20Deploy%20to%20Prod/?token=welistenRelease</v>
      </c>
      <c r="H10" s="34" t="str">
        <f>CONCATENATE(F10,"build?token=",E10,"&amp;token2=",$E$2)</f>
        <v>job/WeListen/job/WeListen%20Deploy%20to%20Prod/build?token=welistenRelease&amp;token2=1197e97c0e27b3d81eb7b1f5597b55952a</v>
      </c>
      <c r="I10" s="16"/>
    </row>
    <row r="11" spans="1:9" s="17" customFormat="1" ht="110.25">
      <c r="A11" s="20" t="s">
        <v>21</v>
      </c>
      <c r="B11" s="20"/>
      <c r="C11" s="21" t="s">
        <v>519</v>
      </c>
      <c r="D11" s="22" t="str">
        <f t="shared" ref="D11:D16" si="7">CONCATENATE($G$4," ",G11,CHAR(10),CHAR(13),CHAR(10),CHAR(13),$H$4," ",H11)</f>
        <v>JENKINS_RESULT https://jenkins.werfen.com/job/Werfen%20websites/job/Production%20environment/job/QA%20Transports/job/Werfen%20FR/?token=WerfenFRRelease
_x000D_
_x000D_JENKINS_TRANSPORT job/WeListen/job/WeListen%20Deploy%20to%20Prod/build?token=welistenRelease&amp;token2=1197e97c0e27b3d81eb7b1f5597b55952a</v>
      </c>
      <c r="E11" s="27" t="s">
        <v>76</v>
      </c>
      <c r="F11" s="27" t="s">
        <v>77</v>
      </c>
      <c r="G11" s="34" t="str">
        <f t="shared" si="6"/>
        <v>https://jenkins.werfen.com/job/Werfen%20websites/job/Production%20environment/job/QA%20Transports/job/Werfen%20FR/?token=WerfenFRRelease</v>
      </c>
      <c r="H11" s="34" t="str">
        <f>CONCATENATE(F10,"build?token=",E10,"&amp;token2=",$E$2)</f>
        <v>job/WeListen/job/WeListen%20Deploy%20to%20Prod/build?token=welistenRelease&amp;token2=1197e97c0e27b3d81eb7b1f5597b55952a</v>
      </c>
      <c r="I11" s="16"/>
    </row>
    <row r="12" spans="1:9" s="17" customFormat="1" ht="110.25">
      <c r="A12" s="20" t="s">
        <v>21</v>
      </c>
      <c r="B12" s="20"/>
      <c r="C12" s="21" t="s">
        <v>520</v>
      </c>
      <c r="D12" s="22" t="str">
        <f t="shared" si="7"/>
        <v>JENKINS_RESULT https://jenkins.werfen.com/job/Werfen%20websites/job/Production%20environment/job/QA%20Transports/job/Werfen%20IT/?token=WerfenITRelease
_x000D_
_x000D_JENKINS_TRANSPORT job/Werfen%20websites/job/Production%20environment/job/QA%20Transports/job/Werfen%20IT/build?token=WerfenITRelease&amp;token2=1197e97c0e27b3d81eb7b1f5597b55952a</v>
      </c>
      <c r="E12" s="27" t="s">
        <v>86</v>
      </c>
      <c r="F12" s="27" t="s">
        <v>87</v>
      </c>
      <c r="G12" s="34" t="str">
        <f t="shared" si="6"/>
        <v>https://jenkins.werfen.com/job/Werfen%20websites/job/Production%20environment/job/QA%20Transports/job/Werfen%20IT/?token=WerfenITRelease</v>
      </c>
      <c r="H12" s="34" t="str">
        <f>CONCATENATE(F12,"build?token=",E12,"&amp;token2=",$E$2)</f>
        <v>job/Werfen%20websites/job/Production%20environment/job/QA%20Transports/job/Werfen%20IT/build?token=WerfenITRelease&amp;token2=1197e97c0e27b3d81eb7b1f5597b55952a</v>
      </c>
      <c r="I12" s="16"/>
    </row>
    <row r="13" spans="1:9" s="17" customFormat="1" ht="36" customHeight="1">
      <c r="A13" s="20" t="s">
        <v>21</v>
      </c>
      <c r="B13" s="20"/>
      <c r="C13" s="21" t="s">
        <v>521</v>
      </c>
      <c r="D13" s="22" t="str">
        <f>CONCATENATE($G$4," ",G13,CHAR(10),CHAR(13),CHAR(10),CHAR(13),$H$4," ",H13)</f>
        <v>JENKINS_RESULT https://jenkins.werfen.com/job/Werfen%20websites/job/Production%20environment/job/QA%20Transports/job/Werfen%20UK/?token=WerfenUKRelease
_x000D_
_x000D_JENKINS_TRANSPORT job/Werfen%20websites/job/Production%20environment/job/QA%20Transports/job/Werfen%20UK/build?token=WerfenUKRelease&amp;token2=1197e97c0e27b3d81eb7b1f5597b55952a</v>
      </c>
      <c r="E13" s="27" t="s">
        <v>96</v>
      </c>
      <c r="F13" s="27" t="s">
        <v>97</v>
      </c>
      <c r="G13" s="34" t="str">
        <f t="shared" si="6"/>
        <v>https://jenkins.werfen.com/job/Werfen%20websites/job/Production%20environment/job/QA%20Transports/job/Werfen%20UK/?token=WerfenUKRelease</v>
      </c>
      <c r="H13" s="34" t="str">
        <f t="shared" ref="H13:H16" si="8">CONCATENATE(F13,"build?token=",E13,"&amp;token2=",$E$2)</f>
        <v>job/Werfen%20websites/job/Production%20environment/job/QA%20Transports/job/Werfen%20UK/build?token=WerfenUKRelease&amp;token2=1197e97c0e27b3d81eb7b1f5597b55952a</v>
      </c>
      <c r="I13" s="16"/>
    </row>
    <row r="14" spans="1:9" s="17" customFormat="1" ht="36" customHeight="1">
      <c r="A14" s="20" t="s">
        <v>21</v>
      </c>
      <c r="B14" s="20">
        <v>2</v>
      </c>
      <c r="C14" s="21" t="s">
        <v>522</v>
      </c>
      <c r="D14" s="22" t="str">
        <f t="shared" si="7"/>
        <v>JENKINS_RESULT https://jenkins.werfen.com/job/Werfen%20websites/job/Production%20environment/job/QA%20Transports/job/Werfen%20WW/?token=WerfenWWRelease
_x000D_
_x000D_JENKINS_TRANSPORT job/Werfen%20websites/job/Production%20environment/job/QA%20Transports/job/Werfen%20WW/build?token=WerfenWWRelease&amp;token2=1197e97c0e27b3d81eb7b1f5597b55952a</v>
      </c>
      <c r="E14" s="27" t="s">
        <v>106</v>
      </c>
      <c r="F14" s="27" t="s">
        <v>107</v>
      </c>
      <c r="G14" s="34" t="str">
        <f t="shared" si="6"/>
        <v>https://jenkins.werfen.com/job/Werfen%20websites/job/Production%20environment/job/QA%20Transports/job/Werfen%20WW/?token=WerfenWWRelease</v>
      </c>
      <c r="H14" s="34" t="str">
        <f t="shared" si="8"/>
        <v>job/Werfen%20websites/job/Production%20environment/job/QA%20Transports/job/Werfen%20WW/build?token=WerfenWWRelease&amp;token2=1197e97c0e27b3d81eb7b1f5597b55952a</v>
      </c>
      <c r="I14" s="16"/>
    </row>
    <row r="15" spans="1:9" s="17" customFormat="1" ht="36" customHeight="1">
      <c r="A15" s="20" t="s">
        <v>21</v>
      </c>
      <c r="B15" s="20"/>
      <c r="C15" s="21" t="s">
        <v>523</v>
      </c>
      <c r="D15" s="22" t="str">
        <f>CONCATENATE($G$4," ",G15,CHAR(10),CHAR(13),CHAR(10),CHAR(13),$H$4," ",H15)</f>
        <v>JENKINS_RESULT https://jenkins.werfen.com/job/Werfen%20websites/job/Production%20environment/job/QA%20Transports/job/Werfen%20MX/?token=WerfenMXRelease
_x000D_
_x000D_JENKINS_TRANSPORT job/Werfen%20websites/job/Production%20environment/job/QA%20Transports/job/Werfen%20MX/build?token=WerfenMXRelease&amp;token2=1197e97c0e27b3d81eb7b1f5597b55952a</v>
      </c>
      <c r="E15" s="27" t="s">
        <v>116</v>
      </c>
      <c r="F15" s="27" t="s">
        <v>117</v>
      </c>
      <c r="G15" s="34" t="str">
        <f>_xlfn.CONCAT("https://jenkins.werfen.com/",F15,"?token=",E15)</f>
        <v>https://jenkins.werfen.com/job/Werfen%20websites/job/Production%20environment/job/QA%20Transports/job/Werfen%20MX/?token=WerfenMXRelease</v>
      </c>
      <c r="H15" s="34" t="str">
        <f>CONCATENATE(F15,"build?token=",E15,"&amp;token2=",$E$2)</f>
        <v>job/Werfen%20websites/job/Production%20environment/job/QA%20Transports/job/Werfen%20MX/build?token=WerfenMXRelease&amp;token2=1197e97c0e27b3d81eb7b1f5597b55952a</v>
      </c>
      <c r="I15" s="16"/>
    </row>
    <row r="16" spans="1:9" s="17" customFormat="1" ht="93" customHeight="1">
      <c r="A16" s="20" t="s">
        <v>21</v>
      </c>
      <c r="B16" s="20"/>
      <c r="C16" s="21" t="s">
        <v>524</v>
      </c>
      <c r="D16" s="22" t="str">
        <f t="shared" si="7"/>
        <v>JENKINS_RESULT https://jenkins.werfen.com/job/Werfen%20websites/job/Production%20environment/job/QA%20Transports/job/Werfen%20ES/?token=WerfenESRelease
_x000D_
_x000D_JENKINS_TRANSPORT job/Werfen%20websites/job/Production%20environment/job/QA%20Transports/job/Werfen%20ES/build?token=WerfenESRelease&amp;token2=1197e97c0e27b3d81eb7b1f5597b55952a</v>
      </c>
      <c r="E16" s="27" t="s">
        <v>126</v>
      </c>
      <c r="F16" s="27" t="s">
        <v>127</v>
      </c>
      <c r="G16" s="34" t="str">
        <f t="shared" si="6"/>
        <v>https://jenkins.werfen.com/job/Werfen%20websites/job/Production%20environment/job/QA%20Transports/job/Werfen%20ES/?token=WerfenESRelease</v>
      </c>
      <c r="H16" s="34" t="str">
        <f t="shared" si="8"/>
        <v>job/Werfen%20websites/job/Production%20environment/job/QA%20Transports/job/Werfen%20ES/build?token=WerfenESRelease&amp;token2=1197e97c0e27b3d81eb7b1f5597b55952a</v>
      </c>
      <c r="I16" s="16"/>
    </row>
    <row r="17" spans="1:9" s="17" customFormat="1" ht="37.5" customHeight="1">
      <c r="A17" s="13" t="s">
        <v>21</v>
      </c>
      <c r="B17" s="13">
        <v>5</v>
      </c>
      <c r="C17" s="14" t="s">
        <v>525</v>
      </c>
      <c r="D17" s="22" t="str">
        <f t="shared" ref="D17:D21" si="9">CONCATENATE($G$4," ",G17,CHAR(10),CHAR(13),CHAR(10),CHAR(13),$H$4," ",H17)</f>
        <v>JENKINS_RESULT https://jenkins.werfen.com/job/Werfen%20websites/job/Production%20environment/job/QA%20Transports/job/Werfen%20Benelux/?token=WerfenBeneluxRelease
_x000D_
_x000D_JENKINS_TRANSPORT job/Werfen%20websites/job/Production%20environment/job/QA%20Transports/job/Werfen%20Benelux/build?token=WerfenBeneluxRelease&amp;token2=1197e97c0e27b3d81eb7b1f5597b55952a</v>
      </c>
      <c r="E17" s="28" t="s">
        <v>136</v>
      </c>
      <c r="F17" s="28" t="s">
        <v>137</v>
      </c>
      <c r="G17" s="34" t="str">
        <f t="shared" ref="G17:G22" si="10">_xlfn.CONCAT("https://jenkins.werfen.com/",F17,"?token=",E17)</f>
        <v>https://jenkins.werfen.com/job/Werfen%20websites/job/Production%20environment/job/QA%20Transports/job/Werfen%20Benelux/?token=WerfenBeneluxRelease</v>
      </c>
      <c r="H17" s="34" t="str">
        <f t="shared" ref="H17:H21" si="11">CONCATENATE(F17,"build?token=",E17,"&amp;token2=",$E$2)</f>
        <v>job/Werfen%20websites/job/Production%20environment/job/QA%20Transports/job/Werfen%20Benelux/build?token=WerfenBeneluxRelease&amp;token2=1197e97c0e27b3d81eb7b1f5597b55952a</v>
      </c>
      <c r="I17" s="16"/>
    </row>
    <row r="18" spans="1:9" s="17" customFormat="1" ht="46.35" customHeight="1">
      <c r="A18" s="13" t="s">
        <v>21</v>
      </c>
      <c r="B18" s="13"/>
      <c r="C18" s="14" t="s">
        <v>526</v>
      </c>
      <c r="D18" s="22" t="str">
        <f t="shared" si="9"/>
        <v>JENKINS_RESULT https://jenkins.werfen.com/job/Werfen%20websites/job/Production%20environment/job/QA%20Transports/job/Biokit/?token=BiokitRelease
_x000D_
_x000D_JENKINS_TRANSPORT job/Werfen%20websites/job/Production%20environment/job/QA%20Transports/job/Biokit/build?token=BiokitRelease&amp;token2=1197e97c0e27b3d81eb7b1f5597b55952a</v>
      </c>
      <c r="E18" s="28" t="s">
        <v>527</v>
      </c>
      <c r="F18" s="28" t="s">
        <v>528</v>
      </c>
      <c r="G18" s="34" t="str">
        <f t="shared" si="10"/>
        <v>https://jenkins.werfen.com/job/Werfen%20websites/job/Production%20environment/job/QA%20Transports/job/Biokit/?token=BiokitRelease</v>
      </c>
      <c r="H18" s="34" t="str">
        <f t="shared" si="11"/>
        <v>job/Werfen%20websites/job/Production%20environment/job/QA%20Transports/job/Biokit/build?token=BiokitRelease&amp;token2=1197e97c0e27b3d81eb7b1f5597b55952a</v>
      </c>
      <c r="I18" s="16"/>
    </row>
    <row r="19" spans="1:9" s="17" customFormat="1" ht="46.35" customHeight="1">
      <c r="A19" s="13" t="s">
        <v>21</v>
      </c>
      <c r="B19" s="13"/>
      <c r="C19" s="14" t="s">
        <v>529</v>
      </c>
      <c r="D19" s="22" t="str">
        <f>CONCATENATE($G$4," ",G19,CHAR(10),CHAR(13),CHAR(10),CHAR(13),$H$4," ",H19)</f>
        <v>JENKINS_RESULT https://jenkins.werfen.com/job/Werfen%20websites/job/Production%20environment/job/QA%20Transports/job/Inova/?token=InovaRelease
_x000D_
_x000D_JENKINS_TRANSPORT job/Werfen%20websites/job/Production%20environment/job/QA%20Transports/job/Inova/build?token=InovaRelease&amp;token2=1197e97c0e27b3d81eb7b1f5597b55952a</v>
      </c>
      <c r="E19" s="28" t="s">
        <v>530</v>
      </c>
      <c r="F19" s="28" t="s">
        <v>531</v>
      </c>
      <c r="G19" s="34" t="str">
        <f t="shared" si="10"/>
        <v>https://jenkins.werfen.com/job/Werfen%20websites/job/Production%20environment/job/QA%20Transports/job/Inova/?token=InovaRelease</v>
      </c>
      <c r="H19" s="34" t="str">
        <f t="shared" si="11"/>
        <v>job/Werfen%20websites/job/Production%20environment/job/QA%20Transports/job/Inova/build?token=InovaRelease&amp;token2=1197e97c0e27b3d81eb7b1f5597b55952a</v>
      </c>
      <c r="I19" s="16"/>
    </row>
    <row r="20" spans="1:9" s="17" customFormat="1" ht="55.35" customHeight="1">
      <c r="A20" s="13" t="s">
        <v>21</v>
      </c>
      <c r="B20" s="13"/>
      <c r="C20" s="14" t="s">
        <v>532</v>
      </c>
      <c r="D20" s="22" t="str">
        <f t="shared" si="9"/>
        <v>JENKINS_RESULT https://jenkins.werfen.com/job/Werfen%20websites/job/Production%20environment/job/QA%20Transports/job/QA%20Transport%20Test/?token=qaJob1
_x000D_
_x000D_JENKINS_TRANSPORT job/Werfen%20websites/job/Production%20environment/job/QA%20Transports/job/QA%20Transport%20Test/build?token=qaJob1&amp;token2=1197e97c0e27b3d81eb7b1f5597b55952a</v>
      </c>
      <c r="E20" s="28" t="s">
        <v>533</v>
      </c>
      <c r="F20" s="28" t="s">
        <v>534</v>
      </c>
      <c r="G20" s="34" t="str">
        <f t="shared" si="10"/>
        <v>https://jenkins.werfen.com/job/Werfen%20websites/job/Production%20environment/job/QA%20Transports/job/QA%20Transport%20Test/?token=qaJob1</v>
      </c>
      <c r="H20" s="34" t="str">
        <f t="shared" si="11"/>
        <v>job/Werfen%20websites/job/Production%20environment/job/QA%20Transports/job/QA%20Transport%20Test/build?token=qaJob1&amp;token2=1197e97c0e27b3d81eb7b1f5597b55952a</v>
      </c>
      <c r="I20" s="16"/>
    </row>
    <row r="21" spans="1:9" s="17" customFormat="1" ht="47.1" customHeight="1">
      <c r="A21" s="13" t="s">
        <v>21</v>
      </c>
      <c r="B21" s="13"/>
      <c r="C21" s="14" t="s">
        <v>535</v>
      </c>
      <c r="D21" s="22" t="str">
        <f t="shared" si="9"/>
        <v>JENKINS_RESULT https://jenkins.werfen.com/job/Werfen%20websites/job/Production%20environment/job/QA%20Transports/job/Izasa%20Hospital/?token=IzasaHospitalRelease
_x000D_
_x000D_JENKINS_TRANSPORT job/Werfen%20websites/job/Production%20environment/job/QA%20Transports/job/Izasa%20Hospital/build?token=IzasaHospitalRelease&amp;token2=1197e97c0e27b3d81eb7b1f5597b55952a</v>
      </c>
      <c r="E21" s="28" t="s">
        <v>536</v>
      </c>
      <c r="F21" s="28" t="s">
        <v>537</v>
      </c>
      <c r="G21" s="34" t="str">
        <f t="shared" si="10"/>
        <v>https://jenkins.werfen.com/job/Werfen%20websites/job/Production%20environment/job/QA%20Transports/job/Izasa%20Hospital/?token=IzasaHospitalRelease</v>
      </c>
      <c r="H21" s="34" t="str">
        <f t="shared" si="11"/>
        <v>job/Werfen%20websites/job/Production%20environment/job/QA%20Transports/job/Izasa%20Hospital/build?token=IzasaHospitalRelease&amp;token2=1197e97c0e27b3d81eb7b1f5597b55952a</v>
      </c>
      <c r="I21" s="16"/>
    </row>
    <row r="22" spans="1:9" s="17" customFormat="1" ht="96.75" customHeight="1">
      <c r="A22" s="13" t="s">
        <v>146</v>
      </c>
      <c r="B22" s="13"/>
      <c r="C22" s="14" t="s">
        <v>538</v>
      </c>
      <c r="D22" s="22" t="str">
        <f>CONCATENATE($G$4," ",G22,CHAR(10),CHAR(13),CHAR(10),CHAR(13),$H$4," ",H22)</f>
        <v>JENKINS_RESULT https://jenkins.werfen.com/job/WeNet/job/SSM%20website/?token=wenetSSMweb
_x000D_
_x000D_JENKINS_TRANSPORT job/WeNet/job/SSM%20website/buildWithParameters?token=wenetSSMweb&amp;token2=1197e97c0e27b3d81eb7b1f5597b55952a</v>
      </c>
      <c r="E22" s="28" t="s">
        <v>147</v>
      </c>
      <c r="F22" s="28" t="s">
        <v>539</v>
      </c>
      <c r="G22" s="34" t="str">
        <f t="shared" si="10"/>
        <v>https://jenkins.werfen.com/job/WeNet/job/SSM%20website/?token=wenetSSMweb</v>
      </c>
      <c r="H22" s="34" t="str">
        <f>CONCATENATE(F22,"buildWithParameters?token=",E22,"&amp;token2=",$E$2)</f>
        <v>job/WeNet/job/SSM%20website/buildWithParameters?token=wenetSSMweb&amp;token2=1197e97c0e27b3d81eb7b1f5597b55952a</v>
      </c>
      <c r="I22" s="16"/>
    </row>
    <row r="23" spans="1:9" s="17" customFormat="1" ht="105.75" customHeight="1">
      <c r="A23" s="13" t="s">
        <v>146</v>
      </c>
      <c r="B23" s="13"/>
      <c r="C23" s="14" t="s">
        <v>146</v>
      </c>
      <c r="D23" s="22" t="str">
        <f>CONCATENATE($G$4," ",G23,CHAR(10),CHAR(13),CHAR(10),CHAR(13),$H$4," ",H23)</f>
        <v>JENKINS_RESULT https://jenkins.werfen.com/job/WeNet/job/QA%20Transports/job/WeNet/?token=wenetRelease
_x000D_
_x000D_JENKINS_TRANSPORT job/WeNet/job/QA%20Transports/job/WeNet/build?token=wenetRelease&amp;token2=1197e97c0e27b3d81eb7b1f5597b55952a</v>
      </c>
      <c r="E23" s="28" t="s">
        <v>151</v>
      </c>
      <c r="F23" s="28" t="s">
        <v>540</v>
      </c>
      <c r="G23" s="34" t="str">
        <f>_xlfn.CONCAT("https://jenkins.werfen.com/",F23,"?token=",E23)</f>
        <v>https://jenkins.werfen.com/job/WeNet/job/QA%20Transports/job/WeNet/?token=wenetRelease</v>
      </c>
      <c r="H23" s="34" t="str">
        <f>CONCATENATE(F23,"build?token=",E23,"&amp;token2=",$E$2)</f>
        <v>job/WeNet/job/QA%20Transports/job/WeNet/build?token=wenetRelease&amp;token2=1197e97c0e27b3d81eb7b1f5597b55952a</v>
      </c>
      <c r="I23" s="16"/>
    </row>
    <row r="24" spans="1:9" s="17" customFormat="1" ht="30" customHeight="1">
      <c r="A24" s="13" t="s">
        <v>21</v>
      </c>
      <c r="B24" s="13"/>
      <c r="C24" s="14" t="s">
        <v>541</v>
      </c>
      <c r="D24" s="22" t="str">
        <f t="shared" ref="D24:D45" si="12">CONCATENATE($G$4," ",G24,CHAR(10),CHAR(13),CHAR(10),CHAR(13),$H$4," ",H24)</f>
        <v>JENKINS_RESULT https://jenkins.werfen.com/job/Werfen%20websites/job/Production%20environment/job/QA%20Transports/job/QLikSense%20Release/?token=QlikSenseRelease
_x000D_
_x000D_JENKINS_TRANSPORT job/Werfen%20websites/job/Production%20environment/job/QA%20Transports/job/QLikSense%20Release/build?token=QlikSenseRelease&amp;token2=1197e97c0e27b3d81eb7b1f5597b55952a</v>
      </c>
      <c r="E24" s="28" t="s">
        <v>161</v>
      </c>
      <c r="F24" s="28" t="s">
        <v>162</v>
      </c>
      <c r="G24" s="34" t="str">
        <f t="shared" ref="G24:G25" si="13">_xlfn.CONCAT("https://jenkins.werfen.com/",F24,"?token=",E24)</f>
        <v>https://jenkins.werfen.com/job/Werfen%20websites/job/Production%20environment/job/QA%20Transports/job/QLikSense%20Release/?token=QlikSenseRelease</v>
      </c>
      <c r="H24" s="34" t="str">
        <f t="shared" ref="H24:H25" si="14">CONCATENATE(F24,"build?token=",E24,"&amp;token2=",$E$2)</f>
        <v>job/Werfen%20websites/job/Production%20environment/job/QA%20Transports/job/QLikSense%20Release/build?token=QlikSenseRelease&amp;token2=1197e97c0e27b3d81eb7b1f5597b55952a</v>
      </c>
      <c r="I24" s="16"/>
    </row>
    <row r="25" spans="1:9" s="17" customFormat="1" ht="54" customHeight="1">
      <c r="A25" s="13" t="s">
        <v>21</v>
      </c>
      <c r="B25" s="13"/>
      <c r="C25" s="14" t="s">
        <v>542</v>
      </c>
      <c r="D25" s="22" t="str">
        <f t="shared" si="12"/>
        <v>JENKINS_RESULT https://jenkins.werfen.com/job/Werfen%20websites/job/Production%20environment/job/QA%20Transports/job/IL%20WW/?token=ILWWRelease
_x000D_
_x000D_JENKINS_TRANSPORT job/Werfen%20websites/job/Production%20environment/job/QA%20Transports/job/IL%20WW/build?token=ILWWRelease&amp;token2=1197e97c0e27b3d81eb7b1f5597b55952a</v>
      </c>
      <c r="E25" s="28" t="s">
        <v>543</v>
      </c>
      <c r="F25" s="28" t="s">
        <v>544</v>
      </c>
      <c r="G25" s="34" t="str">
        <f t="shared" si="13"/>
        <v>https://jenkins.werfen.com/job/Werfen%20websites/job/Production%20environment/job/QA%20Transports/job/IL%20WW/?token=ILWWRelease</v>
      </c>
      <c r="H25" s="34" t="str">
        <f t="shared" si="14"/>
        <v>job/Werfen%20websites/job/Production%20environment/job/QA%20Transports/job/IL%20WW/build?token=ILWWRelease&amp;token2=1197e97c0e27b3d81eb7b1f5597b55952a</v>
      </c>
      <c r="I25" s="16"/>
    </row>
    <row r="26" spans="1:9" s="17" customFormat="1" ht="54" customHeight="1">
      <c r="A26" s="37" t="s">
        <v>21</v>
      </c>
      <c r="B26" s="37"/>
      <c r="C26" s="14" t="s">
        <v>545</v>
      </c>
      <c r="D26" s="22" t="str">
        <f>CONCATENATE($G$4," ",G26,CHAR(10),CHAR(13),CHAR(10),CHAR(13),$H$4," ",H26)</f>
        <v>JENKINS_RESULT https://jenkins.werfen.com/job/Werfen%20websites/job/Production%20environment/job/QA%20Transports/job/IL%20NoAm/?token=ILNoAmRelease
_x000D_
_x000D_JENKINS_TRANSPORT job/Werfen%20websites/job/Production%20environment/job/QA%20Transports/job/IL%20NoAm/build?token=ILNoAmRelease&amp;token2=1197e97c0e27b3d81eb7b1f5597b55952a</v>
      </c>
      <c r="E26" s="28" t="s">
        <v>546</v>
      </c>
      <c r="F26" s="28" t="s">
        <v>547</v>
      </c>
      <c r="G26" s="34" t="str">
        <f>_xlfn.CONCAT("https://jenkins.werfen.com/",F26,"?token=",E26)</f>
        <v>https://jenkins.werfen.com/job/Werfen%20websites/job/Production%20environment/job/QA%20Transports/job/IL%20NoAm/?token=ILNoAmRelease</v>
      </c>
      <c r="H26" s="34" t="str">
        <f>CONCATENATE(F26,"build?token=",E26,"&amp;token2=",$E$2)</f>
        <v>job/Werfen%20websites/job/Production%20environment/job/QA%20Transports/job/IL%20NoAm/build?token=ILNoAmRelease&amp;token2=1197e97c0e27b3d81eb7b1f5597b55952a</v>
      </c>
      <c r="I26" s="16"/>
    </row>
    <row r="27" spans="1:9" s="17" customFormat="1" ht="33" customHeight="1">
      <c r="A27" s="13" t="s">
        <v>21</v>
      </c>
      <c r="B27" s="13"/>
      <c r="C27" s="14" t="s">
        <v>548</v>
      </c>
      <c r="D27" s="22" t="str">
        <f t="shared" si="12"/>
        <v>JENKINS_RESULT https://jenkins.werfen.com/job/Werfen%20websites/job/Production%20environment/job/QA%20Transports/job/Werfen%20DE/?token=WerfenDERelease
_x000D_
_x000D_JENKINS_TRANSPORT job/Werfen%20websites/job/Production%20environment/job/QA%20Transports/job/Werfen%20DE/build?token=WerfenDERelease&amp;token2=1197e97c0e27b3d81eb7b1f5597b55952a</v>
      </c>
      <c r="E27" s="28" t="s">
        <v>171</v>
      </c>
      <c r="F27" s="28" t="s">
        <v>172</v>
      </c>
      <c r="G27" s="34" t="str">
        <f t="shared" ref="G27" si="15">_xlfn.CONCAT("https://jenkins.werfen.com/",F27,"?token=",E27)</f>
        <v>https://jenkins.werfen.com/job/Werfen%20websites/job/Production%20environment/job/QA%20Transports/job/Werfen%20DE/?token=WerfenDERelease</v>
      </c>
      <c r="H27" s="34" t="str">
        <f t="shared" ref="H27" si="16">CONCATENATE(F27,"build?token=",E27,"&amp;token2=",$E$2)</f>
        <v>job/Werfen%20websites/job/Production%20environment/job/QA%20Transports/job/Werfen%20DE/build?token=WerfenDERelease&amp;token2=1197e97c0e27b3d81eb7b1f5597b55952a</v>
      </c>
      <c r="I27" s="16"/>
    </row>
    <row r="28" spans="1:9" s="17" customFormat="1" ht="33" customHeight="1">
      <c r="A28" s="13" t="s">
        <v>21</v>
      </c>
      <c r="B28" s="13"/>
      <c r="C28" s="14" t="s">
        <v>549</v>
      </c>
      <c r="D28" s="22" t="str">
        <f>CONCATENATE($G$4," ",G28,CHAR(10),CHAR(13),CHAR(10),CHAR(13),$H$4," ",H28)</f>
        <v>JENKINS_RESULT https://jenkins.werfen.com/job/Werfen%20websites/job/Production%20environment/job/QA%20Transports/job/Werfen%20BR/?token=WerfenBRRelease
_x000D_
_x000D_JENKINS_TRANSPORT job/Werfen%20websites/job/Production%20environment/job/QA%20Transports/job/Werfen%20BR/build?token=WerfenBRRelease&amp;token2=1197e97c0e27b3d81eb7b1f5597b55952a</v>
      </c>
      <c r="E28" s="28" t="s">
        <v>181</v>
      </c>
      <c r="F28" s="28" t="s">
        <v>182</v>
      </c>
      <c r="G28" s="34" t="str">
        <f>_xlfn.CONCAT("https://jenkins.werfen.com/",F28,"?token=",E28)</f>
        <v>https://jenkins.werfen.com/job/Werfen%20websites/job/Production%20environment/job/QA%20Transports/job/Werfen%20BR/?token=WerfenBRRelease</v>
      </c>
      <c r="H28" s="34" t="str">
        <f>CONCATENATE(F28,"build?token=",E28,"&amp;token2=",$E$2)</f>
        <v>job/Werfen%20websites/job/Production%20environment/job/QA%20Transports/job/Werfen%20BR/build?token=WerfenBRRelease&amp;token2=1197e97c0e27b3d81eb7b1f5597b55952a</v>
      </c>
      <c r="I28" s="16"/>
    </row>
    <row r="29" spans="1:9" s="17" customFormat="1" ht="33" customHeight="1">
      <c r="A29" s="13" t="s">
        <v>21</v>
      </c>
      <c r="B29" s="13"/>
      <c r="C29" s="14" t="s">
        <v>550</v>
      </c>
      <c r="D29" s="22" t="str">
        <f>CONCATENATE($G$4," ",G29,CHAR(10),CHAR(13),CHAR(10),CHAR(13),$H$4," ",H29)</f>
        <v>JENKINS_RESULT https://jenkins.werfen.com/job/Werfen%20websites/job/Production%20environment/job/QA%20Transports/job/Leventon/?token=LeventonRelease
_x000D_
_x000D_JENKINS_TRANSPORT job/Werfen%20websites/job/Production%20environment/job/QA%20Transports/job/Leventon/build?token=LeventonRelease&amp;token2=1197e97c0e27b3d81eb7b1f5597b55952a</v>
      </c>
      <c r="E29" s="28" t="s">
        <v>191</v>
      </c>
      <c r="F29" s="28" t="s">
        <v>192</v>
      </c>
      <c r="G29" s="34" t="str">
        <f>_xlfn.CONCAT("https://jenkins.werfen.com/",F29,"?token=",E29)</f>
        <v>https://jenkins.werfen.com/job/Werfen%20websites/job/Production%20environment/job/QA%20Transports/job/Leventon/?token=LeventonRelease</v>
      </c>
      <c r="H29" s="34" t="str">
        <f>CONCATENATE(F29,"build?token=",E29,"&amp;token2=",$E$2)</f>
        <v>job/Werfen%20websites/job/Production%20environment/job/QA%20Transports/job/Leventon/build?token=LeventonRelease&amp;token2=1197e97c0e27b3d81eb7b1f5597b55952a</v>
      </c>
      <c r="I29" s="16"/>
    </row>
    <row r="30" spans="1:9" s="17" customFormat="1" ht="60.75" customHeight="1">
      <c r="A30" s="13" t="s">
        <v>21</v>
      </c>
      <c r="B30" s="13"/>
      <c r="C30" s="14" t="s">
        <v>551</v>
      </c>
      <c r="D30" s="22" t="str">
        <f t="shared" si="12"/>
        <v>JENKINS_RESULT https://jenkins.werfen.com/job/Werfen%20websites/job/Production%20environment/job/QA%20Transports/job/Werfen%20PT/?token=WerfenPTRelease
_x000D_
_x000D_JENKINS_TRANSPORT job/Werfen%20websites/job/Production%20environment/job/QA%20Transports/job/Werfen%20PT/build?token=WerfenPTRelease&amp;token2=1197e97c0e27b3d81eb7b1f5597b55952a</v>
      </c>
      <c r="E30" s="28" t="s">
        <v>201</v>
      </c>
      <c r="F30" s="28" t="s">
        <v>202</v>
      </c>
      <c r="G30" s="34" t="str">
        <f t="shared" ref="G30" si="17">_xlfn.CONCAT("https://jenkins.werfen.com/",F30,"?token=",E30)</f>
        <v>https://jenkins.werfen.com/job/Werfen%20websites/job/Production%20environment/job/QA%20Transports/job/Werfen%20PT/?token=WerfenPTRelease</v>
      </c>
      <c r="H30" s="34" t="str">
        <f t="shared" ref="H30" si="18">CONCATENATE(F30,"build?token=",E30,"&amp;token2=",$E$2)</f>
        <v>job/Werfen%20websites/job/Production%20environment/job/QA%20Transports/job/Werfen%20PT/build?token=WerfenPTRelease&amp;token2=1197e97c0e27b3d81eb7b1f5597b55952a</v>
      </c>
      <c r="I30" s="16"/>
    </row>
    <row r="31" spans="1:9" s="17" customFormat="1" ht="22.5" customHeight="1">
      <c r="A31" s="13" t="s">
        <v>21</v>
      </c>
      <c r="B31" s="13"/>
      <c r="C31" s="14" t="s">
        <v>552</v>
      </c>
      <c r="D31" s="22" t="str">
        <f t="shared" si="12"/>
        <v>JENKINS_RESULT https://jenkins.werfen.com/job/Werfen%20websites/job/Production%20environment/job/QA%20Transports/job/Werfen%20KR/?token=WerfenKRRelease
_x000D_
_x000D_JENKINS_TRANSPORT job/Werfen%20websites/job/Production%20environment/job/QA%20Transports/job/Werfen%20KR/build?token=WerfenKRRelease&amp;token2=1197e97c0e27b3d81eb7b1f5597b55952a</v>
      </c>
      <c r="E31" s="28" t="s">
        <v>211</v>
      </c>
      <c r="F31" s="28" t="s">
        <v>212</v>
      </c>
      <c r="G31" s="34" t="str">
        <f t="shared" ref="G31" si="19">_xlfn.CONCAT("https://jenkins.werfen.com/",F31,"?token=",E31)</f>
        <v>https://jenkins.werfen.com/job/Werfen%20websites/job/Production%20environment/job/QA%20Transports/job/Werfen%20KR/?token=WerfenKRRelease</v>
      </c>
      <c r="H31" s="34" t="str">
        <f t="shared" ref="H31" si="20">CONCATENATE(F31,"build?token=",E31,"&amp;token2=",$E$2)</f>
        <v>job/Werfen%20websites/job/Production%20environment/job/QA%20Transports/job/Werfen%20KR/build?token=WerfenKRRelease&amp;token2=1197e97c0e27b3d81eb7b1f5597b55952a</v>
      </c>
      <c r="I31" s="16"/>
    </row>
    <row r="32" spans="1:9" s="17" customFormat="1" ht="22.5" customHeight="1">
      <c r="A32" s="13" t="s">
        <v>21</v>
      </c>
      <c r="B32" s="13"/>
      <c r="C32" s="14" t="s">
        <v>553</v>
      </c>
      <c r="D32" s="22" t="str">
        <f t="shared" si="12"/>
        <v>JENKINS_RESULT https://jenkins.werfen.com/job/Werfen%20websites/job/Production%20environment/job/QA%20Transports/job/Werfen%20JP/?token=WerfenJPRelease
_x000D_
_x000D_JENKINS_TRANSPORT job/Werfen%20websites/job/Production%20environment/job/QA%20Transports/job/Werfen%20JP/build?token=WerfenJPRelease&amp;token2=1197e97c0e27b3d81eb7b1f5597b55952a</v>
      </c>
      <c r="E32" s="28" t="s">
        <v>221</v>
      </c>
      <c r="F32" s="28" t="s">
        <v>222</v>
      </c>
      <c r="G32" s="34" t="str">
        <f t="shared" ref="G32" si="21">_xlfn.CONCAT("https://jenkins.werfen.com/",F32,"?token=",E32)</f>
        <v>https://jenkins.werfen.com/job/Werfen%20websites/job/Production%20environment/job/QA%20Transports/job/Werfen%20JP/?token=WerfenJPRelease</v>
      </c>
      <c r="H32" s="34" t="str">
        <f t="shared" ref="H32:H47" si="22">CONCATENATE(F32,"build?token=",E32,"&amp;token2=",$E$2)</f>
        <v>job/Werfen%20websites/job/Production%20environment/job/QA%20Transports/job/Werfen%20JP/build?token=WerfenJPRelease&amp;token2=1197e97c0e27b3d81eb7b1f5597b55952a</v>
      </c>
      <c r="I32" s="16"/>
    </row>
    <row r="33" spans="1:9" s="17" customFormat="1" ht="126">
      <c r="A33" s="13" t="s">
        <v>21</v>
      </c>
      <c r="B33" s="13"/>
      <c r="C33" s="14" t="s">
        <v>554</v>
      </c>
      <c r="D33" s="22" t="str">
        <f t="shared" ref="D33:D39" si="23">CONCATENATE($G$4," ",G33,CHAR(10),CHAR(13),CHAR(10),CHAR(13),$H$4," ",H33)</f>
        <v>JENKINS_RESULT https://jenkins.werfen.com/job/Werfen%20websites/job/Production%20environment/job/QA%20Transports/job/Izasa%20Scientific/?token=IzasaScientificRelease
_x000D_
_x000D_JENKINS_TRANSPORT job/Werfen%20websites/job/Production%20environment/job/QA%20Transports/job/Izasa%20Scientific/build?token=IzasaScientificRelease&amp;token2=1197e97c0e27b3d81eb7b1f5597b55952a</v>
      </c>
      <c r="E33" s="28" t="s">
        <v>555</v>
      </c>
      <c r="F33" s="28" t="s">
        <v>556</v>
      </c>
      <c r="G33" s="34" t="str">
        <f t="shared" ref="G33:G37" si="24">_xlfn.CONCAT("https://jenkins.werfen.com/",F33,"?token=",E33)</f>
        <v>https://jenkins.werfen.com/job/Werfen%20websites/job/Production%20environment/job/QA%20Transports/job/Izasa%20Scientific/?token=IzasaScientificRelease</v>
      </c>
      <c r="H33" s="34" t="str">
        <f t="shared" si="22"/>
        <v>job/Werfen%20websites/job/Production%20environment/job/QA%20Transports/job/Izasa%20Scientific/build?token=IzasaScientificRelease&amp;token2=1197e97c0e27b3d81eb7b1f5597b55952a</v>
      </c>
      <c r="I33" s="16"/>
    </row>
    <row r="34" spans="1:9" s="17" customFormat="1" ht="54.75" customHeight="1">
      <c r="A34" s="13" t="s">
        <v>21</v>
      </c>
      <c r="B34" s="13"/>
      <c r="C34" s="14" t="s">
        <v>557</v>
      </c>
      <c r="D34" s="22" t="str">
        <f t="shared" si="23"/>
        <v>JENKINS_RESULT https://jenkins.werfen.com/job/Werfen%20websites/job/Production%20environment/job/QA%20Transports/job/Werfen%20CN%20-%20AWS/?token=WerfenCNRelease
_x000D_
_x000D_JENKINS_TRANSPORT job/Werfen%20websites/job/Production%20environment/job/QA%20Transports/job/Werfen%20CN%20-%20AWS/build?token=WerfenCNRelease&amp;token2=1197e97c0e27b3d81eb7b1f5597b55952a</v>
      </c>
      <c r="E34" s="28" t="s">
        <v>231</v>
      </c>
      <c r="F34" s="28" t="s">
        <v>232</v>
      </c>
      <c r="G34" s="34" t="str">
        <f>_xlfn.CONCAT("https://jenkins.werfen.com/",F34,"?token=",E34)</f>
        <v>https://jenkins.werfen.com/job/Werfen%20websites/job/Production%20environment/job/QA%20Transports/job/Werfen%20CN%20-%20AWS/?token=WerfenCNRelease</v>
      </c>
      <c r="H34" s="34" t="str">
        <f>CONCATENATE(F34,"build?token=",E34,"&amp;token2=",$E$2)</f>
        <v>job/Werfen%20websites/job/Production%20environment/job/QA%20Transports/job/Werfen%20CN%20-%20AWS/build?token=WerfenCNRelease&amp;token2=1197e97c0e27b3d81eb7b1f5597b55952a</v>
      </c>
      <c r="I34" s="16"/>
    </row>
    <row r="35" spans="1:9" s="17" customFormat="1" ht="54.75" customHeight="1">
      <c r="A35" s="13" t="s">
        <v>21</v>
      </c>
      <c r="B35" s="13"/>
      <c r="C35" s="14" t="s">
        <v>558</v>
      </c>
      <c r="D35" s="22" t="str">
        <f t="shared" si="23"/>
        <v>JENKINS_RESULT https://jenkins.werfen.com/job/Werfen%20websites/job/Production%20environment/job/QA%20Transports/job/Werfen%20OEM/?token=WerfenOEMRelease
_x000D_
_x000D_JENKINS_TRANSPORT job/Werfen%20websites/job/Production%20environment/job/QA%20Transports/job/Werfen%20OEM/build?token=WerfenOEMRelease&amp;token2=1197e97c0e27b3d81eb7b1f5597b55952a</v>
      </c>
      <c r="E35" s="28" t="s">
        <v>241</v>
      </c>
      <c r="F35" s="28" t="s">
        <v>242</v>
      </c>
      <c r="G35" s="34" t="str">
        <f>_xlfn.CONCAT("https://jenkins.werfen.com/",F35,"?token=",E35)</f>
        <v>https://jenkins.werfen.com/job/Werfen%20websites/job/Production%20environment/job/QA%20Transports/job/Werfen%20OEM/?token=WerfenOEMRelease</v>
      </c>
      <c r="H35" s="34" t="str">
        <f>CONCATENATE(F35,"build?token=",E35,"&amp;token2=",$E$2)</f>
        <v>job/Werfen%20websites/job/Production%20environment/job/QA%20Transports/job/Werfen%20OEM/build?token=WerfenOEMRelease&amp;token2=1197e97c0e27b3d81eb7b1f5597b55952a</v>
      </c>
      <c r="I35" s="16"/>
    </row>
    <row r="36" spans="1:9" s="17" customFormat="1" ht="54.75" customHeight="1">
      <c r="A36" s="13" t="s">
        <v>21</v>
      </c>
      <c r="B36" s="13"/>
      <c r="C36" s="14" t="s">
        <v>559</v>
      </c>
      <c r="D36" s="22" t="str">
        <f t="shared" si="23"/>
        <v>JENKINS_RESULT https://jenkins.werfen.com/job/Werfen%20websites/job/Production%20environment/job/QA%20Transports/job/Werfen%20NoAm/?token=WerfenNoAmRelease
_x000D_
_x000D_JENKINS_TRANSPORT job/Werfen%20websites/job/Production%20environment/job/QA%20Transports/job/Werfen%20NoAm/build?token=WerfenNoAmRelease&amp;token2=1197e97c0e27b3d81eb7b1f5597b55952a</v>
      </c>
      <c r="E36" s="28" t="s">
        <v>251</v>
      </c>
      <c r="F36" s="28" t="s">
        <v>252</v>
      </c>
      <c r="G36" s="34" t="str">
        <f>_xlfn.CONCAT("https://jenkins.werfen.com/",F36,"?token=",E36)</f>
        <v>https://jenkins.werfen.com/job/Werfen%20websites/job/Production%20environment/job/QA%20Transports/job/Werfen%20NoAm/?token=WerfenNoAmRelease</v>
      </c>
      <c r="H36" s="34" t="str">
        <f>CONCATENATE(F36,"build?token=",E36,"&amp;token2=",$E$2)</f>
        <v>job/Werfen%20websites/job/Production%20environment/job/QA%20Transports/job/Werfen%20NoAm/build?token=WerfenNoAmRelease&amp;token2=1197e97c0e27b3d81eb7b1f5597b55952a</v>
      </c>
      <c r="I36" s="16"/>
    </row>
    <row r="37" spans="1:9" s="17" customFormat="1" ht="110.25">
      <c r="A37" s="13" t="s">
        <v>21</v>
      </c>
      <c r="B37" s="13">
        <v>3</v>
      </c>
      <c r="C37" s="14" t="s">
        <v>560</v>
      </c>
      <c r="D37" s="22" t="str">
        <f t="shared" si="23"/>
        <v>JENKINS_RESULT https://jenkins.werfen.com/job/Werfen%20websites/job/Production%20environment/job/QA%20Transports/job/Werfen%20AT/?token=WerfenATRelease
_x000D_
_x000D_JENKINS_TRANSPORT job/Werfen%20websites/job/Production%20environment/job/QA%20Transports/job/Werfen%20AT/build?token=WerfenATRelease&amp;token2=1197e97c0e27b3d81eb7b1f5597b55952a</v>
      </c>
      <c r="E37" s="28" t="s">
        <v>261</v>
      </c>
      <c r="F37" s="28" t="s">
        <v>262</v>
      </c>
      <c r="G37" s="34" t="str">
        <f t="shared" si="24"/>
        <v>https://jenkins.werfen.com/job/Werfen%20websites/job/Production%20environment/job/QA%20Transports/job/Werfen%20AT/?token=WerfenATRelease</v>
      </c>
      <c r="H37" s="34" t="str">
        <f t="shared" si="22"/>
        <v>job/Werfen%20websites/job/Production%20environment/job/QA%20Transports/job/Werfen%20AT/build?token=WerfenATRelease&amp;token2=1197e97c0e27b3d81eb7b1f5597b55952a</v>
      </c>
      <c r="I37" s="16"/>
    </row>
    <row r="38" spans="1:9" s="17" customFormat="1" ht="110.25">
      <c r="A38" s="14" t="s">
        <v>265</v>
      </c>
      <c r="B38" s="14"/>
      <c r="C38" s="14" t="s">
        <v>265</v>
      </c>
      <c r="D38" s="22" t="str">
        <f t="shared" si="23"/>
        <v>JENKINS_RESULT https://jenkins.werfen.com/job/TicketLine/job/QA%20Transports/job/TicketLine/?token=TicketLineRelease
_x000D_
_x000D_JENKINS_TRANSPORT job/TicketLine/job/QA%20Transports/job/TicketLine/build?token=TicketLineRelease&amp;token2=1197e97c0e27b3d81eb7b1f5597b55952a</v>
      </c>
      <c r="E38" s="28" t="s">
        <v>266</v>
      </c>
      <c r="F38" s="28" t="s">
        <v>561</v>
      </c>
      <c r="G38" s="34" t="str">
        <f t="shared" ref="G38" si="25">_xlfn.CONCAT("https://jenkins.werfen.com/",F38,"?token=",E38)</f>
        <v>https://jenkins.werfen.com/job/TicketLine/job/QA%20Transports/job/TicketLine/?token=TicketLineRelease</v>
      </c>
      <c r="H38" s="34" t="str">
        <f t="shared" si="22"/>
        <v>job/TicketLine/job/QA%20Transports/job/TicketLine/build?token=TicketLineRelease&amp;token2=1197e97c0e27b3d81eb7b1f5597b55952a</v>
      </c>
      <c r="I38" s="16"/>
    </row>
    <row r="39" spans="1:9" s="17" customFormat="1" ht="95.25" customHeight="1">
      <c r="A39" s="13" t="s">
        <v>562</v>
      </c>
      <c r="B39" s="13"/>
      <c r="C39" s="14" t="s">
        <v>563</v>
      </c>
      <c r="D39" s="22" t="str">
        <f t="shared" si="23"/>
        <v>JENKINS_RESULT https://jenkins.werfen.com/job/WerfenDocs/job/Production/job/QA%20Transports/job/Werfen%20Docs%20Full%20Release/?token=WerfenDocsFullRelease
_x000D_
_x000D_JENKINS_TRANSPORT job/WerfenDocs/job/Production/job/QA%20Transports/job/Werfen%20Docs%20Full%20Release/build?token=WerfenDocsFullRelease&amp;token2=1197e97c0e27b3d81eb7b1f5597b55952a</v>
      </c>
      <c r="E39" s="28" t="s">
        <v>293</v>
      </c>
      <c r="F39" s="28" t="s">
        <v>294</v>
      </c>
      <c r="G39" s="34" t="str">
        <f t="shared" ref="G39" si="26">_xlfn.CONCAT("https://jenkins.werfen.com/",F39,"?token=",E39)</f>
        <v>https://jenkins.werfen.com/job/WerfenDocs/job/Production/job/QA%20Transports/job/Werfen%20Docs%20Full%20Release/?token=WerfenDocsFullRelease</v>
      </c>
      <c r="H39" s="34" t="str">
        <f t="shared" si="22"/>
        <v>job/WerfenDocs/job/Production/job/QA%20Transports/job/Werfen%20Docs%20Full%20Release/build?token=WerfenDocsFullRelease&amp;token2=1197e97c0e27b3d81eb7b1f5597b55952a</v>
      </c>
      <c r="I39" s="16"/>
    </row>
    <row r="40" spans="1:9" s="17" customFormat="1" ht="121.35" customHeight="1">
      <c r="A40" s="13" t="s">
        <v>303</v>
      </c>
      <c r="B40" s="13"/>
      <c r="C40" s="14" t="s">
        <v>564</v>
      </c>
      <c r="D40" s="22" t="str">
        <f t="shared" si="12"/>
        <v>JENKINS_RESULT https://jenkins.werfen.com/job/Case%20Portal/job/QA%20Transports/job/Case%20Portal/?token=CasePortalRelease
_x000D_
_x000D_JENKINS_TRANSPORT job/Case%20Portal/job/QA%20Transports/job/Case%20Portal/build?token=CasePortalRelease&amp;token2=1197e97c0e27b3d81eb7b1f5597b55952a</v>
      </c>
      <c r="E40" s="28" t="s">
        <v>304</v>
      </c>
      <c r="F40" s="28" t="s">
        <v>565</v>
      </c>
      <c r="G40" s="34" t="str">
        <f t="shared" ref="G40" si="27">_xlfn.CONCAT("https://jenkins.werfen.com/",F40,"?token=",E40)</f>
        <v>https://jenkins.werfen.com/job/Case%20Portal/job/QA%20Transports/job/Case%20Portal/?token=CasePortalRelease</v>
      </c>
      <c r="H40" s="34" t="str">
        <f t="shared" si="22"/>
        <v>job/Case%20Portal/job/QA%20Transports/job/Case%20Portal/build?token=CasePortalRelease&amp;token2=1197e97c0e27b3d81eb7b1f5597b55952a</v>
      </c>
      <c r="I40" s="16"/>
    </row>
    <row r="41" spans="1:9" s="17" customFormat="1" ht="120" customHeight="1">
      <c r="A41" s="13" t="s">
        <v>566</v>
      </c>
      <c r="B41" s="13"/>
      <c r="C41" s="14" t="s">
        <v>566</v>
      </c>
      <c r="D41" s="22" t="str">
        <f t="shared" si="12"/>
        <v>JENKINS_RESULT https://jenkins.werfen.com/job/ExperienceDB/job/QA%20Transports/job/ExperienceDB/?token=ExperienceDBRelease
_x000D_
_x000D_JENKINS_TRANSPORT job/ExperienceDB/job/QA%20Transports/job/ExperienceDB/build?token=ExperienceDBRelease&amp;token2=1197e97c0e27b3d81eb7b1f5597b55952a</v>
      </c>
      <c r="E41" s="28" t="s">
        <v>567</v>
      </c>
      <c r="F41" s="28" t="s">
        <v>568</v>
      </c>
      <c r="G41" s="34" t="str">
        <f t="shared" ref="G41" si="28">_xlfn.CONCAT("https://jenkins.werfen.com/",F41,"?token=",E41)</f>
        <v>https://jenkins.werfen.com/job/ExperienceDB/job/QA%20Transports/job/ExperienceDB/?token=ExperienceDBRelease</v>
      </c>
      <c r="H41" s="34" t="str">
        <f t="shared" si="22"/>
        <v>job/ExperienceDB/job/QA%20Transports/job/ExperienceDB/build?token=ExperienceDBRelease&amp;token2=1197e97c0e27b3d81eb7b1f5597b55952a</v>
      </c>
      <c r="I41" s="16"/>
    </row>
    <row r="42" spans="1:9" s="17" customFormat="1" ht="109.35" customHeight="1">
      <c r="A42" s="13" t="s">
        <v>318</v>
      </c>
      <c r="B42" s="13"/>
      <c r="C42" s="14" t="s">
        <v>318</v>
      </c>
      <c r="D42" s="22" t="str">
        <f>CONCATENATE($G$4," ",G42,CHAR(10),CHAR(13),CHAR(10),CHAR(13),$H$4," ",H42)</f>
        <v>JENKINS_RESULT https://jenkins.werfen.com/job/Monthly%20Report/job/QA%20Transports/job/Monthly%20Report/?token=MonthlyReportRelease
_x000D_
_x000D_JENKINS_TRANSPORT job/Monthly%20Report/job/QA%20Transports/job/Monthly%20Report/build?token=MonthlyReportRelease&amp;token2=1197e97c0e27b3d81eb7b1f5597b55952a</v>
      </c>
      <c r="E42" s="28" t="s">
        <v>319</v>
      </c>
      <c r="F42" s="28" t="s">
        <v>569</v>
      </c>
      <c r="G42" s="34" t="str">
        <f t="shared" ref="G42" si="29">_xlfn.CONCAT("https://jenkins.werfen.com/",F42,"?token=",E42)</f>
        <v>https://jenkins.werfen.com/job/Monthly%20Report/job/QA%20Transports/job/Monthly%20Report/?token=MonthlyReportRelease</v>
      </c>
      <c r="H42" s="34" t="str">
        <f t="shared" si="22"/>
        <v>job/Monthly%20Report/job/QA%20Transports/job/Monthly%20Report/build?token=MonthlyReportRelease&amp;token2=1197e97c0e27b3d81eb7b1f5597b55952a</v>
      </c>
      <c r="I42" s="16"/>
    </row>
    <row r="43" spans="1:9" s="17" customFormat="1" ht="110.25">
      <c r="A43" s="13" t="s">
        <v>366</v>
      </c>
      <c r="B43" s="13"/>
      <c r="C43" s="14" t="s">
        <v>366</v>
      </c>
      <c r="D43" s="22" t="str">
        <f>CONCATENATE($G$4," ",G43,CHAR(10),CHAR(13),CHAR(10),CHAR(13),$H$4," ",H43)</f>
        <v>JENKINS_RESULT https://jenkins.werfen.com/job/Tower/job/QA%20Transports/job/Tower/?token=WerfenTowerRelease
_x000D_
_x000D_JENKINS_TRANSPORT job/Tower/job/QA%20Transports/job/Tower/build?token=WerfenTowerRelease&amp;token2=1197e97c0e27b3d81eb7b1f5597b55952a</v>
      </c>
      <c r="E43" s="28" t="s">
        <v>367</v>
      </c>
      <c r="F43" s="28" t="s">
        <v>570</v>
      </c>
      <c r="G43" s="34" t="str">
        <f t="shared" ref="G43" si="30">_xlfn.CONCAT("https://jenkins.werfen.com/",F43,"?token=",E43)</f>
        <v>https://jenkins.werfen.com/job/Tower/job/QA%20Transports/job/Tower/?token=WerfenTowerRelease</v>
      </c>
      <c r="H43" s="34" t="str">
        <f t="shared" si="22"/>
        <v>job/Tower/job/QA%20Transports/job/Tower/build?token=WerfenTowerRelease&amp;token2=1197e97c0e27b3d81eb7b1f5597b55952a</v>
      </c>
      <c r="I43" s="16"/>
    </row>
    <row r="44" spans="1:9" s="17" customFormat="1" ht="94.5">
      <c r="A44" s="13" t="s">
        <v>571</v>
      </c>
      <c r="B44" s="13"/>
      <c r="C44" s="14" t="s">
        <v>571</v>
      </c>
      <c r="D44" s="22" t="str">
        <f t="shared" si="12"/>
        <v>JENKINS_RESULT https://jenkins.werfen.com/job/WebLine/job/QA%20Transports/job/WebLine%20197-198-199/?token=WeblineRelease
_x000D_
_x000D_JENKINS_TRANSPORT job/WebLine/job/QA%20Transports/job/WebLine%20197-198-199/build?token=WeblineRelease&amp;token2=1197e97c0e27b3d81eb7b1f5597b55952a</v>
      </c>
      <c r="E44" s="28" t="s">
        <v>572</v>
      </c>
      <c r="F44" s="28" t="s">
        <v>573</v>
      </c>
      <c r="G44" s="34" t="str">
        <f t="shared" ref="G44" si="31">_xlfn.CONCAT("https://jenkins.werfen.com/",F44,"?token=",E44)</f>
        <v>https://jenkins.werfen.com/job/WebLine/job/QA%20Transports/job/WebLine%20197-198-199/?token=WeblineRelease</v>
      </c>
      <c r="H44" s="34" t="str">
        <f t="shared" si="22"/>
        <v>job/WebLine/job/QA%20Transports/job/WebLine%20197-198-199/build?token=WeblineRelease&amp;token2=1197e97c0e27b3d81eb7b1f5597b55952a</v>
      </c>
      <c r="I44" s="16"/>
    </row>
    <row r="45" spans="1:9" s="17" customFormat="1" ht="110.25">
      <c r="A45" s="13" t="s">
        <v>574</v>
      </c>
      <c r="B45" s="13"/>
      <c r="C45" s="14" t="s">
        <v>574</v>
      </c>
      <c r="D45" s="22" t="str">
        <f t="shared" si="12"/>
        <v>JENKINS_RESULT https://jenkins.werfen.com/job/Webline%20Lite/job/QA%20transports/job/Webline%20Lite/?token=WeblineLiteRelease
_x000D_
_x000D_JENKINS_TRANSPORT job/Webline%20Lite/job/QA%20transports/job/Webline%20Lite/build?token=WeblineLiteRelease&amp;token2=1197e97c0e27b3d81eb7b1f5597b55952a</v>
      </c>
      <c r="E45" s="28" t="s">
        <v>575</v>
      </c>
      <c r="F45" s="28" t="s">
        <v>576</v>
      </c>
      <c r="G45" s="34" t="str">
        <f t="shared" ref="G45:G47" si="32">_xlfn.CONCAT("https://jenkins.werfen.com/",F45,"?token=",E45)</f>
        <v>https://jenkins.werfen.com/job/Webline%20Lite/job/QA%20transports/job/Webline%20Lite/?token=WeblineLiteRelease</v>
      </c>
      <c r="H45" s="34" t="str">
        <f t="shared" si="22"/>
        <v>job/Webline%20Lite/job/QA%20transports/job/Webline%20Lite/build?token=WeblineLiteRelease&amp;token2=1197e97c0e27b3d81eb7b1f5597b55952a</v>
      </c>
      <c r="I45" s="16"/>
    </row>
    <row r="46" spans="1:9" s="17" customFormat="1" ht="110.25">
      <c r="A46" s="13" t="s">
        <v>377</v>
      </c>
      <c r="B46" s="13"/>
      <c r="C46" s="14" t="s">
        <v>377</v>
      </c>
      <c r="D46" s="22" t="str">
        <f t="shared" ref="D46:D54" si="33">CONCATENATE($G$4," ",G46,CHAR(10),CHAR(13),CHAR(10),CHAR(13),$H$4," ",H46)</f>
        <v>JENKINS_RESULT https://jenkins.werfen.com/job/WeLearn/job/QA%20Transports/job/WeLearn/?token=WeLearnRelease
_x000D_
_x000D_JENKINS_TRANSPORT job/WeLearn/job/QA%20Transports/job/WeLearn/build?token=WeLearnRelease&amp;token2=1197e97c0e27b3d81eb7b1f5597b55952a</v>
      </c>
      <c r="E46" s="28" t="s">
        <v>378</v>
      </c>
      <c r="F46" s="28" t="s">
        <v>577</v>
      </c>
      <c r="G46" s="35" t="str">
        <f t="shared" si="32"/>
        <v>https://jenkins.werfen.com/job/WeLearn/job/QA%20Transports/job/WeLearn/?token=WeLearnRelease</v>
      </c>
      <c r="H46" s="35" t="str">
        <f t="shared" si="22"/>
        <v>job/WeLearn/job/QA%20Transports/job/WeLearn/build?token=WeLearnRelease&amp;token2=1197e97c0e27b3d81eb7b1f5597b55952a</v>
      </c>
      <c r="I46" s="16"/>
    </row>
    <row r="47" spans="1:9" s="17" customFormat="1" ht="109.5" customHeight="1">
      <c r="A47" s="13" t="s">
        <v>388</v>
      </c>
      <c r="B47" s="13"/>
      <c r="C47" s="13" t="s">
        <v>388</v>
      </c>
      <c r="D47" s="22" t="str">
        <f>CONCATENATE($G$4," ",G47,CHAR(10),CHAR(13),CHAR(10),CHAR(13),$H$4," ",H47)</f>
        <v>JENKINS_RESULT https://jenkins.werfen.com/job/Werfen%20Academy/job/QA%20Transports/job/Werfen%20Academy/?token=WerfenAcademyRelease
_x000D_
_x000D_JENKINS_TRANSPORT job/Werfen%20Academy/job/QA%20Transports/job/Werfen%20Academy/build?token=WerfenAcademyRelease&amp;token2=1197e97c0e27b3d81eb7b1f5597b55952a</v>
      </c>
      <c r="E47" s="28" t="s">
        <v>389</v>
      </c>
      <c r="F47" s="28" t="s">
        <v>578</v>
      </c>
      <c r="G47" s="35" t="str">
        <f t="shared" si="32"/>
        <v>https://jenkins.werfen.com/job/Werfen%20Academy/job/QA%20Transports/job/Werfen%20Academy/?token=WerfenAcademyRelease</v>
      </c>
      <c r="H47" s="35" t="str">
        <f t="shared" si="22"/>
        <v>job/Werfen%20Academy/job/QA%20Transports/job/Werfen%20Academy/build?token=WerfenAcademyRelease&amp;token2=1197e97c0e27b3d81eb7b1f5597b55952a</v>
      </c>
      <c r="I47" s="16"/>
    </row>
    <row r="48" spans="1:9" s="17" customFormat="1" ht="117.75" customHeight="1">
      <c r="A48" s="13" t="s">
        <v>419</v>
      </c>
      <c r="B48" s="13"/>
      <c r="C48" s="13" t="s">
        <v>419</v>
      </c>
      <c r="D48" s="38" t="str">
        <f t="shared" si="33"/>
        <v>JENKINS_RESULT https://jenkins.werfen.com/job/Distributors%20Portal%20(E-business)/job/Distributors%20Portal%20QA%20Transport/?token=DISTRIBUTORS_PORTAL_PRODUCTION_QA_TRANSPORT
_x000D_
_x000D_JENKINS_TRANSPORT job/Distributors%20Portal%20(E-business)/job/Distributors%20Portal%20QA%20Transport/build?token=DISTRIBUTORS_PORTAL_PRODUCTION_QA_TRANSPORT&amp;token2=1197e97c0e27b3d81eb7b1f5597b55952a</v>
      </c>
      <c r="E48" s="28" t="s">
        <v>420</v>
      </c>
      <c r="F48" s="28" t="s">
        <v>579</v>
      </c>
      <c r="G48" s="35" t="str">
        <f t="shared" ref="G48:G54" si="34">_xlfn.CONCAT("https://jenkins.werfen.com/",F48,"?token=",E48)</f>
        <v>https://jenkins.werfen.com/job/Distributors%20Portal%20(E-business)/job/Distributors%20Portal%20QA%20Transport/?token=DISTRIBUTORS_PORTAL_PRODUCTION_QA_TRANSPORT</v>
      </c>
      <c r="H48" s="35" t="str">
        <f t="shared" ref="H48:H54" si="35">CONCATENATE(F48,"build?token=",E48,"&amp;token2=",$E$2)</f>
        <v>job/Distributors%20Portal%20(E-business)/job/Distributors%20Portal%20QA%20Transport/build?token=DISTRIBUTORS_PORTAL_PRODUCTION_QA_TRANSPORT&amp;token2=1197e97c0e27b3d81eb7b1f5597b55952a</v>
      </c>
      <c r="I48" s="16"/>
    </row>
    <row r="49" spans="1:9" s="17" customFormat="1" ht="147" customHeight="1">
      <c r="A49" s="13" t="s">
        <v>430</v>
      </c>
      <c r="B49" s="13"/>
      <c r="C49" s="13" t="s">
        <v>430</v>
      </c>
      <c r="D49" s="38" t="str">
        <f t="shared" si="33"/>
        <v>JENKINS_RESULT https://jenkins.werfen.com/job/IVD%20Market%20Watch/job/QA%20Transports/job/IVD%20Market%20Watch/?token=IVDMarketWatchRelease
_x000D_
_x000D_JENKINS_TRANSPORT job/IVD%20Market%20Watch/job/QA%20Transports/job/IVD%20Market%20Watch/build?token=IVDMarketWatchRelease&amp;token2=1197e97c0e27b3d81eb7b1f5597b55952a</v>
      </c>
      <c r="E49" s="28" t="s">
        <v>431</v>
      </c>
      <c r="F49" s="28" t="s">
        <v>580</v>
      </c>
      <c r="G49" s="35" t="str">
        <f t="shared" si="34"/>
        <v>https://jenkins.werfen.com/job/IVD%20Market%20Watch/job/QA%20Transports/job/IVD%20Market%20Watch/?token=IVDMarketWatchRelease</v>
      </c>
      <c r="H49" s="35" t="str">
        <f t="shared" si="35"/>
        <v>job/IVD%20Market%20Watch/job/QA%20Transports/job/IVD%20Market%20Watch/build?token=IVDMarketWatchRelease&amp;token2=1197e97c0e27b3d81eb7b1f5597b55952a</v>
      </c>
      <c r="I49" s="16"/>
    </row>
    <row r="50" spans="1:9" s="17" customFormat="1" ht="110.25">
      <c r="A50" s="13" t="s">
        <v>441</v>
      </c>
      <c r="B50" s="13"/>
      <c r="C50" s="13" t="s">
        <v>441</v>
      </c>
      <c r="D50" s="18" t="str">
        <f t="shared" si="33"/>
        <v>JENKINS_RESULT https://jenkins.werfen.com/job/CustomersPortal/job/Customers%20Portal%20QA%20Transport/?token=CUSTOMER_PORTAL_PRODUCTION_QA_TRANSPORT
_x000D_
_x000D_JENKINS_TRANSPORT job/CustomersPortal/job/Customers%20Portal%20QA%20Transport/build?token=CUSTOMER_PORTAL_PRODUCTION_QA_TRANSPORT&amp;token2=1197e97c0e27b3d81eb7b1f5597b55952a</v>
      </c>
      <c r="E50" s="28" t="s">
        <v>442</v>
      </c>
      <c r="F50" s="28" t="s">
        <v>581</v>
      </c>
      <c r="G50" s="35" t="str">
        <f t="shared" si="34"/>
        <v>https://jenkins.werfen.com/job/CustomersPortal/job/Customers%20Portal%20QA%20Transport/?token=CUSTOMER_PORTAL_PRODUCTION_QA_TRANSPORT</v>
      </c>
      <c r="H50" s="35" t="str">
        <f t="shared" si="35"/>
        <v>job/CustomersPortal/job/Customers%20Portal%20QA%20Transport/build?token=CUSTOMER_PORTAL_PRODUCTION_QA_TRANSPORT&amp;token2=1197e97c0e27b3d81eb7b1f5597b55952a</v>
      </c>
      <c r="I50" s="16"/>
    </row>
    <row r="51" spans="1:9" s="17" customFormat="1" ht="75.599999999999994" customHeight="1">
      <c r="A51" s="13" t="s">
        <v>490</v>
      </c>
      <c r="B51" s="13"/>
      <c r="C51" s="13" t="s">
        <v>490</v>
      </c>
      <c r="D51" s="18" t="str">
        <f t="shared" si="33"/>
        <v>JENKINS_RESULT https://jenkins.werfen.com/job/Vendors%20Portal/job/Production/job/QA%20Transports/job/Release%20to%20Production/?token=VendorsPortalProd
_x000D_
_x000D_JENKINS_TRANSPORT job/Vendors%20Portal/job/Production/job/QA%20Transports/job/Release%20to%20Production/build?token=VendorsPortalProd&amp;token2=1197e97c0e27b3d81eb7b1f5597b55952a</v>
      </c>
      <c r="E51" s="28" t="s">
        <v>582</v>
      </c>
      <c r="F51" s="28" t="s">
        <v>583</v>
      </c>
      <c r="G51" s="35" t="str">
        <f t="shared" si="34"/>
        <v>https://jenkins.werfen.com/job/Vendors%20Portal/job/Production/job/QA%20Transports/job/Release%20to%20Production/?token=VendorsPortalProd</v>
      </c>
      <c r="H51" s="35" t="str">
        <f t="shared" si="35"/>
        <v>job/Vendors%20Portal/job/Production/job/QA%20Transports/job/Release%20to%20Production/build?token=VendorsPortalProd&amp;token2=1197e97c0e27b3d81eb7b1f5597b55952a</v>
      </c>
      <c r="I51" s="16"/>
    </row>
    <row r="52" spans="1:9" s="17" customFormat="1" ht="57" customHeight="1">
      <c r="A52" s="13" t="s">
        <v>452</v>
      </c>
      <c r="B52" s="13"/>
      <c r="C52" s="13" t="s">
        <v>584</v>
      </c>
      <c r="D52" s="18" t="str">
        <f t="shared" si="33"/>
        <v>JENKINS_RESULT https://jenkins.werfen.com/job/WerfenTouch/job/Production%20environment/job/Websites/job/QA%20Transports/job/WerfenTouch/?token=WerfenTouchWebRelease
_x000D_
_x000D_JENKINS_TRANSPORT job/WerfenTouch/job/Production%20environment/job/Websites/job/QA%20Transports/job/WerfenTouch/build?token=WerfenTouchWebRelease&amp;token2=1197e97c0e27b3d81eb7b1f5597b55952a</v>
      </c>
      <c r="E52" s="28" t="s">
        <v>453</v>
      </c>
      <c r="F52" s="28" t="s">
        <v>585</v>
      </c>
      <c r="G52" s="35" t="str">
        <f t="shared" si="34"/>
        <v>https://jenkins.werfen.com/job/WerfenTouch/job/Production%20environment/job/Websites/job/QA%20Transports/job/WerfenTouch/?token=WerfenTouchWebRelease</v>
      </c>
      <c r="H52" s="35" t="str">
        <f t="shared" si="35"/>
        <v>job/WerfenTouch/job/Production%20environment/job/Websites/job/QA%20Transports/job/WerfenTouch/build?token=WerfenTouchWebRelease&amp;token2=1197e97c0e27b3d81eb7b1f5597b55952a</v>
      </c>
      <c r="I52" s="16"/>
    </row>
    <row r="53" spans="1:9" s="17" customFormat="1" ht="46.5" customHeight="1">
      <c r="A53" s="13" t="s">
        <v>452</v>
      </c>
      <c r="B53" s="13"/>
      <c r="C53" s="14" t="s">
        <v>466</v>
      </c>
      <c r="D53" s="18" t="str">
        <f t="shared" si="33"/>
        <v>JENKINS_RESULT https://jenkins.werfen.com/job/WerfenTouch/job/Production%20environment/job/Websites/job/QA%20Transports/job/WerfenTouch%20China/?token=WerfenTouchChinaWebRelease
_x000D_
_x000D_JENKINS_TRANSPORT job/WerfenTouch/job/Production%20environment/job/Websites/job/QA%20Transports/job/WerfenTouch%20China/build?token=WerfenTouchChinaWebRelease&amp;token2=1197e97c0e27b3d81eb7b1f5597b55952a</v>
      </c>
      <c r="E53" s="28" t="s">
        <v>463</v>
      </c>
      <c r="F53" s="28" t="s">
        <v>464</v>
      </c>
      <c r="G53" s="35" t="str">
        <f t="shared" si="34"/>
        <v>https://jenkins.werfen.com/job/WerfenTouch/job/Production%20environment/job/Websites/job/QA%20Transports/job/WerfenTouch%20China/?token=WerfenTouchChinaWebRelease</v>
      </c>
      <c r="H53" s="35" t="str">
        <f t="shared" si="35"/>
        <v>job/WerfenTouch/job/Production%20environment/job/Websites/job/QA%20Transports/job/WerfenTouch%20China/build?token=WerfenTouchChinaWebRelease&amp;token2=1197e97c0e27b3d81eb7b1f5597b55952a</v>
      </c>
      <c r="I53" s="16"/>
    </row>
    <row r="54" spans="1:9" s="17" customFormat="1" ht="43.5" customHeight="1">
      <c r="A54" s="13" t="s">
        <v>452</v>
      </c>
      <c r="B54" s="13"/>
      <c r="C54" s="13" t="s">
        <v>586</v>
      </c>
      <c r="D54" s="18" t="str">
        <f t="shared" si="33"/>
        <v>JENKINS_RESULT https://jenkins.werfen.com/job/WerfenTouch/job/Production%20environment/job/Websites/job/QA%20Transports/job/ScienceGo/?token=ScienceGoWebRelease
_x000D_
_x000D_JENKINS_TRANSPORT job/WerfenTouch/job/Production%20environment/job/Websites/job/QA%20Transports/job/ScienceGo/build?token=ScienceGoWebRelease&amp;token2=1197e97c0e27b3d81eb7b1f5597b55952a</v>
      </c>
      <c r="E54" s="28" t="s">
        <v>587</v>
      </c>
      <c r="F54" s="28" t="s">
        <v>588</v>
      </c>
      <c r="G54" s="35" t="str">
        <f t="shared" si="34"/>
        <v>https://jenkins.werfen.com/job/WerfenTouch/job/Production%20environment/job/Websites/job/QA%20Transports/job/ScienceGo/?token=ScienceGoWebRelease</v>
      </c>
      <c r="H54" s="35" t="str">
        <f t="shared" si="35"/>
        <v>job/WerfenTouch/job/Production%20environment/job/Websites/job/QA%20Transports/job/ScienceGo/build?token=ScienceGoWebRelease&amp;token2=1197e97c0e27b3d81eb7b1f5597b55952a</v>
      </c>
      <c r="I54" s="16"/>
    </row>
    <row r="55" spans="1:9" s="17" customFormat="1" ht="110.25">
      <c r="A55" s="13" t="s">
        <v>467</v>
      </c>
      <c r="B55" s="13"/>
      <c r="C55" s="13" t="s">
        <v>467</v>
      </c>
      <c r="D55" s="18" t="str">
        <f t="shared" ref="D55" si="36">CONCATENATE($G$4," ",G55,CHAR(10),CHAR(13),CHAR(10),CHAR(13),$H$4," ",H55)</f>
        <v>JENKINS_RESULT https://jenkins.werfen.com/job/AccrivaTickets/job/Accriva%20Tickets%20QA%20Transport/?token=ACCRIVA_TICKETS_PRODUCTION_QA_TRANSPORT
_x000D_
_x000D_JENKINS_TRANSPORT job/AccrivaTickets/job/Accriva%20Tickets%20QA%20Transport/build?token=ACCRIVA_TICKETS_PRODUCTION_QA_TRANSPORT&amp;token2=1197e97c0e27b3d81eb7b1f5597b55952a</v>
      </c>
      <c r="E55" s="28" t="s">
        <v>468</v>
      </c>
      <c r="F55" s="28" t="s">
        <v>589</v>
      </c>
      <c r="G55" s="35" t="str">
        <f t="shared" ref="G55" si="37">_xlfn.CONCAT("https://jenkins.werfen.com/",F55,"?token=",E55)</f>
        <v>https://jenkins.werfen.com/job/AccrivaTickets/job/Accriva%20Tickets%20QA%20Transport/?token=ACCRIVA_TICKETS_PRODUCTION_QA_TRANSPORT</v>
      </c>
      <c r="H55" s="35" t="str">
        <f t="shared" ref="H55" si="38">CONCATENATE(F55,"build?token=",E55,"&amp;token2=",$E$2)</f>
        <v>job/AccrivaTickets/job/Accriva%20Tickets%20QA%20Transport/build?token=ACCRIVA_TICKETS_PRODUCTION_QA_TRANSPORT&amp;token2=1197e97c0e27b3d81eb7b1f5597b55952a</v>
      </c>
      <c r="I55" s="16"/>
    </row>
    <row r="56" spans="1:9" s="17" customFormat="1">
      <c r="A56" s="13"/>
      <c r="B56" s="13"/>
      <c r="C56" s="14"/>
      <c r="D56" s="18"/>
      <c r="E56" s="28"/>
      <c r="F56" s="28"/>
      <c r="G56" s="15"/>
      <c r="H56" s="15"/>
      <c r="I56" s="16"/>
    </row>
    <row r="57" spans="1:9" s="17" customFormat="1">
      <c r="A57" s="13"/>
      <c r="B57" s="13"/>
      <c r="C57" s="14"/>
      <c r="D57" s="18"/>
      <c r="E57" s="28"/>
      <c r="F57" s="28"/>
      <c r="G57" s="15"/>
      <c r="H57" s="15"/>
      <c r="I57" s="16"/>
    </row>
    <row r="58" spans="1:9" s="17" customFormat="1">
      <c r="A58" s="13"/>
      <c r="B58" s="13"/>
      <c r="C58" s="14"/>
      <c r="D58" s="18"/>
      <c r="E58" s="28"/>
      <c r="F58" s="28"/>
      <c r="G58" s="15"/>
      <c r="H58" s="15"/>
      <c r="I58" s="16"/>
    </row>
    <row r="59" spans="1:9" s="17" customFormat="1">
      <c r="A59" s="13"/>
      <c r="B59" s="13"/>
      <c r="C59" s="14"/>
      <c r="D59" s="18"/>
      <c r="E59" s="28"/>
      <c r="F59" s="28"/>
      <c r="G59" s="15"/>
      <c r="H59" s="15"/>
      <c r="I59" s="16"/>
    </row>
    <row r="60" spans="1:9" s="17" customFormat="1">
      <c r="A60" s="13"/>
      <c r="B60" s="13"/>
      <c r="C60" s="14"/>
      <c r="D60" s="18"/>
      <c r="E60" s="28"/>
      <c r="F60" s="28"/>
      <c r="G60" s="15"/>
      <c r="H60" s="15"/>
      <c r="I60" s="16"/>
    </row>
    <row r="61" spans="1:9" s="17" customFormat="1">
      <c r="A61" s="13"/>
      <c r="B61" s="13"/>
      <c r="C61" s="14"/>
      <c r="D61" s="18"/>
      <c r="E61" s="28"/>
      <c r="F61" s="28"/>
      <c r="G61" s="15"/>
      <c r="H61" s="15"/>
      <c r="I61" s="16"/>
    </row>
    <row r="62" spans="1:9" s="17" customFormat="1">
      <c r="A62" s="13"/>
      <c r="B62" s="13"/>
      <c r="C62" s="14"/>
      <c r="D62" s="18"/>
      <c r="E62" s="28"/>
      <c r="F62" s="28"/>
      <c r="G62" s="15"/>
      <c r="H62" s="15"/>
      <c r="I62" s="16"/>
    </row>
    <row r="63" spans="1:9" s="17" customFormat="1">
      <c r="A63" s="13"/>
      <c r="B63" s="13"/>
      <c r="C63" s="14"/>
      <c r="D63" s="18"/>
      <c r="E63" s="28"/>
      <c r="F63" s="28"/>
      <c r="G63" s="15"/>
      <c r="H63" s="15"/>
      <c r="I63" s="16"/>
    </row>
    <row r="64" spans="1:9" s="17" customFormat="1">
      <c r="A64" s="13"/>
      <c r="B64" s="13"/>
      <c r="C64" s="14"/>
      <c r="D64" s="18"/>
      <c r="E64" s="28"/>
      <c r="F64" s="28"/>
      <c r="G64" s="15"/>
      <c r="H64" s="15"/>
      <c r="I64" s="16"/>
    </row>
    <row r="65" spans="1:9" s="17" customFormat="1">
      <c r="A65" s="13"/>
      <c r="B65" s="13"/>
      <c r="C65" s="14"/>
      <c r="D65" s="18"/>
      <c r="E65" s="28"/>
      <c r="F65" s="28"/>
      <c r="G65" s="15"/>
      <c r="H65" s="15"/>
      <c r="I65" s="16"/>
    </row>
    <row r="66" spans="1:9" s="17" customFormat="1">
      <c r="A66" s="13"/>
      <c r="B66" s="13"/>
      <c r="C66" s="14"/>
      <c r="D66" s="18"/>
      <c r="E66" s="28"/>
      <c r="F66" s="28"/>
      <c r="G66" s="15"/>
      <c r="H66" s="15"/>
      <c r="I66" s="16"/>
    </row>
    <row r="67" spans="1:9" s="17" customFormat="1">
      <c r="A67" s="13"/>
      <c r="B67" s="13"/>
      <c r="C67" s="14"/>
      <c r="D67" s="18"/>
      <c r="E67" s="28"/>
      <c r="F67" s="28"/>
      <c r="G67" s="15"/>
      <c r="H67" s="15"/>
      <c r="I67" s="16"/>
    </row>
    <row r="68" spans="1:9" s="17" customFormat="1">
      <c r="A68" s="13"/>
      <c r="B68" s="13"/>
      <c r="C68" s="14"/>
      <c r="D68" s="18"/>
      <c r="E68" s="28"/>
      <c r="F68" s="28"/>
      <c r="G68" s="15"/>
      <c r="H68" s="15"/>
      <c r="I68" s="16"/>
    </row>
    <row r="69" spans="1:9" s="17" customFormat="1">
      <c r="A69" s="13"/>
      <c r="B69" s="13"/>
      <c r="C69" s="14"/>
      <c r="D69" s="18"/>
      <c r="E69" s="28"/>
      <c r="F69" s="28"/>
      <c r="G69" s="15"/>
      <c r="H69" s="15"/>
      <c r="I69" s="16"/>
    </row>
    <row r="70" spans="1:9" s="17" customFormat="1">
      <c r="A70" s="13"/>
      <c r="B70" s="13"/>
      <c r="C70" s="14"/>
      <c r="D70" s="18"/>
      <c r="E70" s="28"/>
      <c r="F70" s="28"/>
      <c r="G70" s="15"/>
      <c r="H70" s="15"/>
      <c r="I70" s="16"/>
    </row>
  </sheetData>
  <autoFilter ref="A4:I55" xr:uid="{7961D7A3-B0E8-471B-B489-89BD91E2F655}"/>
  <mergeCells count="1">
    <mergeCell ref="E2:F2"/>
  </mergeCells>
  <pageMargins left="0.7" right="0.7" top="0.75" bottom="0.75" header="0.3" footer="0.3"/>
  <pageSetup paperSize="9" orientation="portrait" horizontalDpi="0" verticalDpi="0"/>
  <headerFooter>
    <oddFooter>&amp;C_x000D_&amp;1#&amp;"Calibri"&amp;8&amp;K000000           © Werfen All rights reserved. Confidential. For internal use only</oddFoot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8ee53d-608d-418f-8316-00c968c5700d">
      <Terms xmlns="http://schemas.microsoft.com/office/infopath/2007/PartnerControls"/>
    </lcf76f155ced4ddcb4097134ff3c332f>
    <TaxCatchAll xmlns="e734e511-ca43-4dc3-b0e9-4a6f5c19e25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6722A71A4A574F893C2801516E6412" ma:contentTypeVersion="19" ma:contentTypeDescription="Crear nuevo documento." ma:contentTypeScope="" ma:versionID="acca46544f96aec0e910657c75de3c30">
  <xsd:schema xmlns:xsd="http://www.w3.org/2001/XMLSchema" xmlns:xs="http://www.w3.org/2001/XMLSchema" xmlns:p="http://schemas.microsoft.com/office/2006/metadata/properties" xmlns:ns2="498ee53d-608d-418f-8316-00c968c5700d" xmlns:ns3="e734e511-ca43-4dc3-b0e9-4a6f5c19e25e" targetNamespace="http://schemas.microsoft.com/office/2006/metadata/properties" ma:root="true" ma:fieldsID="83cea8ed4ab8c8ce9282012968cd56c4" ns2:_="" ns3:_="">
    <xsd:import namespace="498ee53d-608d-418f-8316-00c968c5700d"/>
    <xsd:import namespace="e734e511-ca43-4dc3-b0e9-4a6f5c19e2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8ee53d-608d-418f-8316-00c968c570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3877453f-345f-4fab-b78e-ade5c8065a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34e511-ca43-4dc3-b0e9-4a6f5c19e25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56d948d-921a-4221-9202-6a0a6f42c58e}" ma:internalName="TaxCatchAll" ma:showField="CatchAllData" ma:web="e734e511-ca43-4dc3-b0e9-4a6f5c19e2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A5DA7B-3D97-4F10-A86D-5148FA4E55D8}"/>
</file>

<file path=customXml/itemProps2.xml><?xml version="1.0" encoding="utf-8"?>
<ds:datastoreItem xmlns:ds="http://schemas.openxmlformats.org/officeDocument/2006/customXml" ds:itemID="{C535BF02-73F3-4B80-B123-ED91A88307D6}"/>
</file>

<file path=customXml/itemProps3.xml><?xml version="1.0" encoding="utf-8"?>
<ds:datastoreItem xmlns:ds="http://schemas.openxmlformats.org/officeDocument/2006/customXml" ds:itemID="{BBD830DD-8EE2-4B1C-BAC6-555373AC4C89}"/>
</file>

<file path=docMetadata/LabelInfo.xml><?xml version="1.0" encoding="utf-8"?>
<clbl:labelList xmlns:clbl="http://schemas.microsoft.com/office/2020/mipLabelMetadata">
  <clbl:label id="{7012dfd8-6e9b-478b-932b-d63708b3bd80}" enabled="1" method="Standard" siteId="{6f1611d6-8df7-4fdd-a3ab-ebb1fc59a4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2020-02-12T20:46:52Z</dcterms:created>
  <dcterms:modified xsi:type="dcterms:W3CDTF">2026-05-21T14:34:42Z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0x010100D86722A71A4A574F893C2801516E6412</vt:lpwstr>
  </property>
  <property fmtid="{D5CDD505-2E9C-101B-9397-08002B2CF9AE}" pid="3" name="MediaServiceImageTags">
    <vt:lpwstr/>
  </property>
</Properties>
</file>